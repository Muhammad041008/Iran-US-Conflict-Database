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 Database" sheetId="1" state="visible" r:id="rId3"/>
    <sheet name="Summary Analysis" sheetId="2" state="visible" r:id="rId4"/>
    <sheet name="Data Cleaning Log" sheetId="3" state="visible" r:id="rId5"/>
  </sheets>
  <definedNames>
    <definedName function="false" hidden="true" localSheetId="0" name="_xlnm._FilterDatabase" vbProcedure="false">'Event Database'!$A$3:$M$3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<sst xmlns="http://schemas.openxmlformats.org/spreadsheetml/2006/main" count="1361" uniqueCount="484">
  <si>
    <t xml:space="preserve">Iran–US Conflict Event Research Database (2018–2025)</t>
  </si>
  <si>
    <t xml:space="preserve">Total Events: 96  |  Source: CNN, PBS, Al Jazeera, Reuters, Pentagon, IAEA, CFR, Arms Control Association  |  Compiled by: Muhammad Imran</t>
  </si>
  <si>
    <t xml:space="preserve">Date</t>
  </si>
  <si>
    <t xml:space="preserve">Year</t>
  </si>
  <si>
    <t xml:space="preserve">Category</t>
  </si>
  <si>
    <t xml:space="preserve">Aggressor</t>
  </si>
  <si>
    <t xml:space="preserve">Target</t>
  </si>
  <si>
    <t xml:space="preserve">Event Description</t>
  </si>
  <si>
    <t xml:space="preserve">Event Type</t>
  </si>
  <si>
    <t xml:space="preserve">Severity</t>
  </si>
  <si>
    <t xml:space="preserve">Advantage To</t>
  </si>
  <si>
    <t xml:space="preserve">Key Detail / Impact</t>
  </si>
  <si>
    <t xml:space="preserve">Scope</t>
  </si>
  <si>
    <t xml:space="preserve">Source</t>
  </si>
  <si>
    <t xml:space="preserve">Status</t>
  </si>
  <si>
    <t xml:space="preserve">2018-05-08</t>
  </si>
  <si>
    <t xml:space="preserve">2018</t>
  </si>
  <si>
    <t xml:space="preserve">Sanctions / Diplomacy</t>
  </si>
  <si>
    <t xml:space="preserve">USA</t>
  </si>
  <si>
    <t xml:space="preserve">Iran</t>
  </si>
  <si>
    <t xml:space="preserve">Trump withdraws US from JCPOA nuclear deal</t>
  </si>
  <si>
    <t xml:space="preserve">Political</t>
  </si>
  <si>
    <t xml:space="preserve">High</t>
  </si>
  <si>
    <t xml:space="preserve">Unilateral withdrawal; reimposed sanctions</t>
  </si>
  <si>
    <t xml:space="preserve">Bilateral</t>
  </si>
  <si>
    <t xml:space="preserve">CNN / CFR</t>
  </si>
  <si>
    <t xml:space="preserve">Stable</t>
  </si>
  <si>
    <t xml:space="preserve">2018-08-07</t>
  </si>
  <si>
    <t xml:space="preserve">US reimposed first wave of economic sanctions on Iran</t>
  </si>
  <si>
    <t xml:space="preserve">Economic</t>
  </si>
  <si>
    <t xml:space="preserve">Banking &amp; oil sanctions reinstated</t>
  </si>
  <si>
    <t xml:space="preserve">Reuters</t>
  </si>
  <si>
    <t xml:space="preserve">2018-11-05</t>
  </si>
  <si>
    <t xml:space="preserve">US reimposed second wave of sanctions including oil sector</t>
  </si>
  <si>
    <t xml:space="preserve">Iranian oil exports targeted</t>
  </si>
  <si>
    <t xml:space="preserve">BBC</t>
  </si>
  <si>
    <t xml:space="preserve">2019-05-08</t>
  </si>
  <si>
    <t xml:space="preserve">2019</t>
  </si>
  <si>
    <t xml:space="preserve">Iran announces rollback of JCPOA commitments</t>
  </si>
  <si>
    <t xml:space="preserve">Medium</t>
  </si>
  <si>
    <t xml:space="preserve">Uranium stockpile limits exceeded</t>
  </si>
  <si>
    <t xml:space="preserve">Al Jazeera</t>
  </si>
  <si>
    <t xml:space="preserve">Escalating</t>
  </si>
  <si>
    <t xml:space="preserve">2019-05-13</t>
  </si>
  <si>
    <t xml:space="preserve">Military / Strike</t>
  </si>
  <si>
    <t xml:space="preserve">Iran-backed</t>
  </si>
  <si>
    <t xml:space="preserve">Saudi Arabia</t>
  </si>
  <si>
    <t xml:space="preserve">Oil tanker attacks near UAE coast</t>
  </si>
  <si>
    <t xml:space="preserve">Attack</t>
  </si>
  <si>
    <t xml:space="preserve">Iran Proxy</t>
  </si>
  <si>
    <t xml:space="preserve">Blamed on Iran-backed groups</t>
  </si>
  <si>
    <t xml:space="preserve">Regional</t>
  </si>
  <si>
    <t xml:space="preserve">NYT</t>
  </si>
  <si>
    <t xml:space="preserve">2019-06-13</t>
  </si>
  <si>
    <t xml:space="preserve">Gulf of Oman</t>
  </si>
  <si>
    <t xml:space="preserve">Two oil tankers attacked in Gulf of Oman</t>
  </si>
  <si>
    <t xml:space="preserve">US blamed Iran; Iran denied</t>
  </si>
  <si>
    <t xml:space="preserve">2019-06-20</t>
  </si>
  <si>
    <t xml:space="preserve">Iran shoots down US RQ-4 Global Hawk drone</t>
  </si>
  <si>
    <t xml:space="preserve">Aerial</t>
  </si>
  <si>
    <t xml:space="preserve">Drone over Strait of Hormuz</t>
  </si>
  <si>
    <t xml:space="preserve">CNN</t>
  </si>
  <si>
    <t xml:space="preserve">2019-07-04</t>
  </si>
  <si>
    <t xml:space="preserve">Maritime / Sanctions</t>
  </si>
  <si>
    <t xml:space="preserve">UK / Iran</t>
  </si>
  <si>
    <t xml:space="preserve">Gibraltar</t>
  </si>
  <si>
    <t xml:space="preserve">UK seizes Iranian tanker Grace 1 in Gibraltar</t>
  </si>
  <si>
    <t xml:space="preserve">Seizure</t>
  </si>
  <si>
    <t xml:space="preserve">UK-USA Aligned</t>
  </si>
  <si>
    <t xml:space="preserve">Oil tanker impounded</t>
  </si>
  <si>
    <t xml:space="preserve">2019-07-19</t>
  </si>
  <si>
    <t xml:space="preserve">UK</t>
  </si>
  <si>
    <t xml:space="preserve">Iran seizes British tanker Stena Impero in Strait of Hormuz</t>
  </si>
  <si>
    <t xml:space="preserve">Tit-for-tat tanker seizures</t>
  </si>
  <si>
    <t xml:space="preserve">Guardian</t>
  </si>
  <si>
    <t xml:space="preserve">2019-09-14</t>
  </si>
  <si>
    <t xml:space="preserve">Drone/missile attack on Saudi Aramco Abqaiq facility</t>
  </si>
  <si>
    <t xml:space="preserve">Critical</t>
  </si>
  <si>
    <t xml:space="preserve">Oil production cut by 50%; $50bn oil market impact</t>
  </si>
  <si>
    <t xml:space="preserve">WSJ</t>
  </si>
  <si>
    <t xml:space="preserve">2019-12-27</t>
  </si>
  <si>
    <t xml:space="preserve">Iraq</t>
  </si>
  <si>
    <t xml:space="preserve">Rocket attack kills US contractor near Kirkuk</t>
  </si>
  <si>
    <t xml:space="preserve">Kataib Hezbollah blamed</t>
  </si>
  <si>
    <t xml:space="preserve">2019-12-29</t>
  </si>
  <si>
    <t xml:space="preserve">Iraq/Syria</t>
  </si>
  <si>
    <t xml:space="preserve">US airstrikes on Kataib Hezbollah bases</t>
  </si>
  <si>
    <t xml:space="preserve">Airstrike</t>
  </si>
  <si>
    <t xml:space="preserve">25 fighters killed</t>
  </si>
  <si>
    <t xml:space="preserve">Pentagon</t>
  </si>
  <si>
    <t xml:space="preserve">2019-12-31</t>
  </si>
  <si>
    <t xml:space="preserve">Protesters storm US Embassy in Baghdad</t>
  </si>
  <si>
    <t xml:space="preserve">Protest/Attack</t>
  </si>
  <si>
    <t xml:space="preserve">IRGC-backed; building damaged</t>
  </si>
  <si>
    <t xml:space="preserve">2020-01-03</t>
  </si>
  <si>
    <t xml:space="preserve">2020</t>
  </si>
  <si>
    <t xml:space="preserve">US drone strike kills Gen. Qasem Soleimani in Baghdad</t>
  </si>
  <si>
    <t xml:space="preserve">Assassination</t>
  </si>
  <si>
    <t xml:space="preserve">IRGC Quds Force chief killed; seismic geopolitical event</t>
  </si>
  <si>
    <t xml:space="preserve">2020-01-08</t>
  </si>
  <si>
    <t xml:space="preserve">Iran fires 22 ballistic missiles at US bases Ain al-Assad &amp; Erbil</t>
  </si>
  <si>
    <t xml:space="preserve">Missile Strike</t>
  </si>
  <si>
    <t xml:space="preserve">No US fatalities; Iran's largest ballistic missile attack ever on US</t>
  </si>
  <si>
    <t xml:space="preserve">DoD</t>
  </si>
  <si>
    <t xml:space="preserve">Ukraine (accidental)</t>
  </si>
  <si>
    <t xml:space="preserve">Iran accidentally shoots down Ukrainian PS752 airliner</t>
  </si>
  <si>
    <t xml:space="preserve">Iran (Error)</t>
  </si>
  <si>
    <t xml:space="preserve">176 killed; later admitted by Iran</t>
  </si>
  <si>
    <t xml:space="preserve">Civilian</t>
  </si>
  <si>
    <t xml:space="preserve">CBC</t>
  </si>
  <si>
    <t xml:space="preserve">2020-01-22</t>
  </si>
  <si>
    <t xml:space="preserve">US imposes new sanctions on Iran over missile attacks</t>
  </si>
  <si>
    <t xml:space="preserve">Treasury Dept sanctions on metals &amp; mining</t>
  </si>
  <si>
    <t xml:space="preserve">2020-04-07</t>
  </si>
  <si>
    <t xml:space="preserve">Rockets hit Iraq base housing US troops (Camp Taji)</t>
  </si>
  <si>
    <t xml:space="preserve">Multiple attacks; 2 US soldiers wounded</t>
  </si>
  <si>
    <t xml:space="preserve">Military Times</t>
  </si>
  <si>
    <t xml:space="preserve">2020-04-22</t>
  </si>
  <si>
    <t xml:space="preserve">Persian Gulf</t>
  </si>
  <si>
    <t xml:space="preserve">Iranian Revolutionary Guard boats harass US Navy ships</t>
  </si>
  <si>
    <t xml:space="preserve">Harassment</t>
  </si>
  <si>
    <t xml:space="preserve">11 IRGC vessels; USS Paul Hamilton</t>
  </si>
  <si>
    <t xml:space="preserve">2020-07-19</t>
  </si>
  <si>
    <t xml:space="preserve">Strait of Hormuz</t>
  </si>
  <si>
    <t xml:space="preserve">Iran seizes Panamanian-flagged tanker Achilleas</t>
  </si>
  <si>
    <t xml:space="preserve">Accused of fuel smuggling</t>
  </si>
  <si>
    <t xml:space="preserve">2020-07-29</t>
  </si>
  <si>
    <t xml:space="preserve">Iran fires missiles at mock US aircraft carrier in drill</t>
  </si>
  <si>
    <t xml:space="preserve">Military Exercise</t>
  </si>
  <si>
    <t xml:space="preserve">Low</t>
  </si>
  <si>
    <t xml:space="preserve">Operation 'Prophet Mohammed 14'; propaganda exercise</t>
  </si>
  <si>
    <t xml:space="preserve">2020-09-19</t>
  </si>
  <si>
    <t xml:space="preserve">US restores ALL UN sanctions on Iran (snapback)</t>
  </si>
  <si>
    <t xml:space="preserve">Sanctions</t>
  </si>
  <si>
    <t xml:space="preserve">Disputed by UN allies; unilateral move</t>
  </si>
  <si>
    <t xml:space="preserve">Multilateral</t>
  </si>
  <si>
    <t xml:space="preserve">UN / Reuters</t>
  </si>
  <si>
    <t xml:space="preserve">2020-11-27</t>
  </si>
  <si>
    <t xml:space="preserve">Israel (US-linked)</t>
  </si>
  <si>
    <t xml:space="preserve">Nuclear scientist Mohsen Fakhrizadeh assassinated near Tehran</t>
  </si>
  <si>
    <t xml:space="preserve">Israel</t>
  </si>
  <si>
    <t xml:space="preserve">Iran blamed Israel; demanded US-backed plot</t>
  </si>
  <si>
    <t xml:space="preserve">2020-12-20</t>
  </si>
  <si>
    <t xml:space="preserve">Rocket attacks on US Embassy Green Zone Baghdad</t>
  </si>
  <si>
    <t xml:space="preserve">Largest rocket barrage on embassy compound</t>
  </si>
  <si>
    <t xml:space="preserve">2020-12-31</t>
  </si>
  <si>
    <t xml:space="preserve">US Treasury adds more Iran sanctions in final Trump days</t>
  </si>
  <si>
    <t xml:space="preserve">Metals, shipping, financial sectors targeted</t>
  </si>
  <si>
    <t xml:space="preserve">Treasury.gov</t>
  </si>
  <si>
    <t xml:space="preserve">2021-01-04</t>
  </si>
  <si>
    <t xml:space="preserve">2021</t>
  </si>
  <si>
    <t xml:space="preserve">Nuclear / Enrichment</t>
  </si>
  <si>
    <t xml:space="preserve">IAEA</t>
  </si>
  <si>
    <t xml:space="preserve">Iran begins enriching uranium to 20% at Fordow</t>
  </si>
  <si>
    <t xml:space="preserve">Nuclear</t>
  </si>
  <si>
    <t xml:space="preserve">Violated JCPOA limit of 3.67%</t>
  </si>
  <si>
    <t xml:space="preserve">2021-02-18</t>
  </si>
  <si>
    <t xml:space="preserve">Biden admin signals willingness to return to JCPOA talks</t>
  </si>
  <si>
    <t xml:space="preserve">Diplomacy</t>
  </si>
  <si>
    <t xml:space="preserve">Reversal of Trump policy</t>
  </si>
  <si>
    <t xml:space="preserve">De-escalating</t>
  </si>
  <si>
    <t xml:space="preserve">2021-04-06</t>
  </si>
  <si>
    <t xml:space="preserve">USA &amp; Iran</t>
  </si>
  <si>
    <t xml:space="preserve">Vienna</t>
  </si>
  <si>
    <t xml:space="preserve">JCPOA talks resume in Vienna</t>
  </si>
  <si>
    <t xml:space="preserve">Both</t>
  </si>
  <si>
    <t xml:space="preserve">Indirect negotiations via EU mediator</t>
  </si>
  <si>
    <t xml:space="preserve">2021-04-11</t>
  </si>
  <si>
    <t xml:space="preserve">Natanz nuclear facility sabotage (major power outage)</t>
  </si>
  <si>
    <t xml:space="preserve">Sabotage</t>
  </si>
  <si>
    <t xml:space="preserve">Iran blamed Israel; set back centrifuge program</t>
  </si>
  <si>
    <t xml:space="preserve">2021-04-16</t>
  </si>
  <si>
    <t xml:space="preserve">Iran begins enriching uranium to 60% — highest ever</t>
  </si>
  <si>
    <t xml:space="preserve">One step below weapons-grade 90%</t>
  </si>
  <si>
    <t xml:space="preserve">2021-06-18</t>
  </si>
  <si>
    <t xml:space="preserve">Domestic</t>
  </si>
  <si>
    <t xml:space="preserve">Ebrahim Raisi elected Iran's president; hardliner</t>
  </si>
  <si>
    <t xml:space="preserve">Nuclear talks stall under new hardline team</t>
  </si>
  <si>
    <t xml:space="preserve">2021-07-29</t>
  </si>
  <si>
    <t xml:space="preserve">Drone attack on Israeli-managed tanker Mercer Street; 2 killed</t>
  </si>
  <si>
    <t xml:space="preserve">UK &amp; Israel blamed Iran; US condemned</t>
  </si>
  <si>
    <t xml:space="preserve">2021-08-01</t>
  </si>
  <si>
    <t xml:space="preserve">Iran seizes Asphalt Princess tanker briefly</t>
  </si>
  <si>
    <t xml:space="preserve">Crew released within hours</t>
  </si>
  <si>
    <t xml:space="preserve">2021-09-23</t>
  </si>
  <si>
    <t xml:space="preserve">US imposes sanctions on Iranian drone program</t>
  </si>
  <si>
    <t xml:space="preserve">IRGC drone manufacturers targeted</t>
  </si>
  <si>
    <t xml:space="preserve">2021-11-29</t>
  </si>
  <si>
    <t xml:space="preserve">Vienna JCPOA talks resume (7th round)</t>
  </si>
  <si>
    <t xml:space="preserve">Significant gaps remained; talks fragile</t>
  </si>
  <si>
    <t xml:space="preserve">Neutral</t>
  </si>
  <si>
    <t xml:space="preserve">2022-01-17</t>
  </si>
  <si>
    <t xml:space="preserve">2022</t>
  </si>
  <si>
    <t xml:space="preserve">UAE</t>
  </si>
  <si>
    <t xml:space="preserve">Houthi (Iran-backed) ballistic missile attack on Abu Dhabi</t>
  </si>
  <si>
    <t xml:space="preserve">Oil facilities hit; 3 killed</t>
  </si>
  <si>
    <t xml:space="preserve">2022-02-24</t>
  </si>
  <si>
    <t xml:space="preserve">Geopolitical</t>
  </si>
  <si>
    <t xml:space="preserve">Russia</t>
  </si>
  <si>
    <t xml:space="preserve">Ukraine</t>
  </si>
  <si>
    <t xml:space="preserve">Russia invades Ukraine; Iran provides drones to Russia</t>
  </si>
  <si>
    <t xml:space="preserve">Proxy</t>
  </si>
  <si>
    <t xml:space="preserve">Shahed drones supplied; Iran-Russia axis strengthened</t>
  </si>
  <si>
    <t xml:space="preserve">NATO</t>
  </si>
  <si>
    <t xml:space="preserve">2022-06-10</t>
  </si>
  <si>
    <t xml:space="preserve">Iraq Kurdistan</t>
  </si>
  <si>
    <t xml:space="preserve">Iran fires ballistic missiles at Erbil, Iraq</t>
  </si>
  <si>
    <t xml:space="preserve">Targeted alleged Israeli 'spy HQ'; 1 killed</t>
  </si>
  <si>
    <t xml:space="preserve">2022-07-17</t>
  </si>
  <si>
    <t xml:space="preserve">International</t>
  </si>
  <si>
    <t xml:space="preserve">Iran advisor says Iran capable of making nuclear bomb</t>
  </si>
  <si>
    <t xml:space="preserve">Highest-level admission of nuclear capability</t>
  </si>
  <si>
    <t xml:space="preserve">2022-09-13</t>
  </si>
  <si>
    <t xml:space="preserve">Mahsa Amini dies in custody; nationwide protests erupt</t>
  </si>
  <si>
    <t xml:space="preserve">Iran (Internal)</t>
  </si>
  <si>
    <t xml:space="preserve">US imposed sanctions on morality police</t>
  </si>
  <si>
    <t xml:space="preserve">Domestic/Bilateral</t>
  </si>
  <si>
    <t xml:space="preserve">2022-09-22</t>
  </si>
  <si>
    <t xml:space="preserve">US sanctions IRGC morality police over Amini death</t>
  </si>
  <si>
    <t xml:space="preserve">Treasury targets repression apparatus</t>
  </si>
  <si>
    <t xml:space="preserve">2022-10-17</t>
  </si>
  <si>
    <t xml:space="preserve">Iran supplies Shahed-136 kamikaze drones to Russia for Ukraine war</t>
  </si>
  <si>
    <t xml:space="preserve">EU/US imposed new sanctions on Iran</t>
  </si>
  <si>
    <t xml:space="preserve">2022-11-15</t>
  </si>
  <si>
    <t xml:space="preserve">Iran enriches uranium to 60% at Fordow site</t>
  </si>
  <si>
    <t xml:space="preserve">IAEA alarmed; additional inspections demanded</t>
  </si>
  <si>
    <t xml:space="preserve">2022-11-17</t>
  </si>
  <si>
    <t xml:space="preserve">US imposes sanctions on Iranian drone manufacturers</t>
  </si>
  <si>
    <t xml:space="preserve">Shaheed drone program suppliers targeted</t>
  </si>
  <si>
    <t xml:space="preserve">2023-01-28</t>
  </si>
  <si>
    <t xml:space="preserve">2023</t>
  </si>
  <si>
    <t xml:space="preserve">Drone attack on defense ministry site in Isfahan, Iran</t>
  </si>
  <si>
    <t xml:space="preserve">Opposition/Israel</t>
  </si>
  <si>
    <t xml:space="preserve">Iran blamed Israel-linked groups</t>
  </si>
  <si>
    <t xml:space="preserve">2023-03-10</t>
  </si>
  <si>
    <t xml:space="preserve">Saudi Arabia &amp; Iran</t>
  </si>
  <si>
    <t xml:space="preserve">China</t>
  </si>
  <si>
    <t xml:space="preserve">Saudi-Iran diplomatic normalization brokered by China</t>
  </si>
  <si>
    <t xml:space="preserve">China-brokered</t>
  </si>
  <si>
    <t xml:space="preserve">Major geopolitical shift; US sidelined</t>
  </si>
  <si>
    <t xml:space="preserve">2023-05-25</t>
  </si>
  <si>
    <t xml:space="preserve">IAEA finds uranium enriched to 83.7% at Fordow</t>
  </si>
  <si>
    <t xml:space="preserve">Near weapons-grade; major red line crossed</t>
  </si>
  <si>
    <t xml:space="preserve">2023-07-03</t>
  </si>
  <si>
    <t xml:space="preserve">US sanctions 6 Iran-linked individuals for terror plots</t>
  </si>
  <si>
    <t xml:space="preserve">Assassination plots against Trump officials</t>
  </si>
  <si>
    <t xml:space="preserve">DOJ</t>
  </si>
  <si>
    <t xml:space="preserve">2023-08-10</t>
  </si>
  <si>
    <t xml:space="preserve">3,000 US troops deployed to Red Sea amid Iran tensions</t>
  </si>
  <si>
    <t xml:space="preserve">Military Deployment</t>
  </si>
  <si>
    <t xml:space="preserve">USS Bataan &amp; Carter Hall; deterrence mission</t>
  </si>
  <si>
    <t xml:space="preserve">2023-09-18</t>
  </si>
  <si>
    <t xml:space="preserve">Qatar</t>
  </si>
  <si>
    <t xml:space="preserve">US-Iran prisoner exchange; $6bn Iranian funds released</t>
  </si>
  <si>
    <t xml:space="preserve">5 Americans freed; funds moved to Qatar</t>
  </si>
  <si>
    <t xml:space="preserve">2023-10-07</t>
  </si>
  <si>
    <t xml:space="preserve">Hamas (Iran-backed)</t>
  </si>
  <si>
    <t xml:space="preserve">Hamas attacks Israel; 1,200 killed — Iran-backed</t>
  </si>
  <si>
    <t xml:space="preserve">Deadliest attack on Jews since Holocaust</t>
  </si>
  <si>
    <t xml:space="preserve">2023-10-17</t>
  </si>
  <si>
    <t xml:space="preserve">Middle East</t>
  </si>
  <si>
    <t xml:space="preserve">Iran-backed militias begin attacking US forces in Iraq/Syria</t>
  </si>
  <si>
    <t xml:space="preserve">180+ attacks over next 12 months</t>
  </si>
  <si>
    <t xml:space="preserve">2023-10-26</t>
  </si>
  <si>
    <t xml:space="preserve">Syria</t>
  </si>
  <si>
    <t xml:space="preserve">US airstrikes on IRGC-linked facilities in Syria</t>
  </si>
  <si>
    <t xml:space="preserve">Response to militia attacks on US troops</t>
  </si>
  <si>
    <t xml:space="preserve">2023-11-19</t>
  </si>
  <si>
    <t xml:space="preserve">Houthi (Iran-backed)</t>
  </si>
  <si>
    <t xml:space="preserve">Red Sea</t>
  </si>
  <si>
    <t xml:space="preserve">Houthis seize Galaxy Leader cargo ship in Red Sea</t>
  </si>
  <si>
    <t xml:space="preserve">Crew of 25 held; global shipping disrupted</t>
  </si>
  <si>
    <t xml:space="preserve">2023-12-25</t>
  </si>
  <si>
    <t xml:space="preserve">One-way drone attack kills US contractor in Erbil</t>
  </si>
  <si>
    <t xml:space="preserve">Kataib Hezbollah; US vows response</t>
  </si>
  <si>
    <t xml:space="preserve">2024-01-28</t>
  </si>
  <si>
    <t xml:space="preserve">2024</t>
  </si>
  <si>
    <t xml:space="preserve">Jordan</t>
  </si>
  <si>
    <t xml:space="preserve">Drone attack kills 3 US troops at Tower 22 base in Jordan</t>
  </si>
  <si>
    <t xml:space="preserve">First US military deaths from proxy attack</t>
  </si>
  <si>
    <t xml:space="preserve">2024-02-02</t>
  </si>
  <si>
    <t xml:space="preserve">US strikes 85 targets across Iraq &amp; Syria; IRGC facilities hit</t>
  </si>
  <si>
    <t xml:space="preserve">Operation Inherent Resolve retaliatory strikes</t>
  </si>
  <si>
    <t xml:space="preserve">2024-02-07</t>
  </si>
  <si>
    <t xml:space="preserve">Yemen</t>
  </si>
  <si>
    <t xml:space="preserve">US &amp; UK launch additional airstrikes on Houthi sites Yemen</t>
  </si>
  <si>
    <t xml:space="preserve">Red Sea threat response</t>
  </si>
  <si>
    <t xml:space="preserve">2024-03-08</t>
  </si>
  <si>
    <t xml:space="preserve">Iran (IRGC)</t>
  </si>
  <si>
    <t xml:space="preserve">US kills senior IRGC commander in Syria airstrike</t>
  </si>
  <si>
    <t xml:space="preserve">Brig. Gen. Mohammad Reza Zahedi killed</t>
  </si>
  <si>
    <t xml:space="preserve">2024-04-01</t>
  </si>
  <si>
    <t xml:space="preserve">Damascus Syria</t>
  </si>
  <si>
    <t xml:space="preserve">Israeli strike on Iranian consulate in Damascus; 13 killed</t>
  </si>
  <si>
    <t xml:space="preserve">Highest Iranian diplomatic target ever struck</t>
  </si>
  <si>
    <t xml:space="preserve">2024-04-14</t>
  </si>
  <si>
    <t xml:space="preserve">Iran launches 300+ drones &amp; missiles at Israel — 1st direct attack</t>
  </si>
  <si>
    <t xml:space="preserve">99% intercepted by US-led coalition; crossing of red line</t>
  </si>
  <si>
    <t xml:space="preserve">IDF</t>
  </si>
  <si>
    <t xml:space="preserve">2024-04-19</t>
  </si>
  <si>
    <t xml:space="preserve">Suspected Israeli strike on air defense near Isfahan Iran</t>
  </si>
  <si>
    <t xml:space="preserve">First direct Israeli strike on Iranian soil</t>
  </si>
  <si>
    <t xml:space="preserve">2024-05-19</t>
  </si>
  <si>
    <t xml:space="preserve">President Ebrahim Raisi killed in helicopter crash</t>
  </si>
  <si>
    <t xml:space="preserve">Accident</t>
  </si>
  <si>
    <t xml:space="preserve">Hardline president dies; reformist Pezeshkian succeeds</t>
  </si>
  <si>
    <t xml:space="preserve">2024-07-31</t>
  </si>
  <si>
    <t xml:space="preserve">Hamas political chief Ismail Haniyeh assassinated in Tehran</t>
  </si>
  <si>
    <t xml:space="preserve">Killed in Iranian capital; massive embarrassment for IRGC</t>
  </si>
  <si>
    <t xml:space="preserve">2024-09-27</t>
  </si>
  <si>
    <t xml:space="preserve">Lebanon</t>
  </si>
  <si>
    <t xml:space="preserve">Israel kills Hezbollah chief Hassan Nasrallah in Beirut</t>
  </si>
  <si>
    <t xml:space="preserve">Iran loses key proxy chief</t>
  </si>
  <si>
    <t xml:space="preserve">2024-10-01</t>
  </si>
  <si>
    <t xml:space="preserve">Iran launches 2nd direct ballistic missile attack on Israel</t>
  </si>
  <si>
    <t xml:space="preserve">200 missiles; most intercepted</t>
  </si>
  <si>
    <t xml:space="preserve">2024-10-26</t>
  </si>
  <si>
    <t xml:space="preserve">Israel strikes Iran directly — first overt Israeli attack on Iran</t>
  </si>
  <si>
    <t xml:space="preserve">Targets air defense &amp; missile production sites</t>
  </si>
  <si>
    <t xml:space="preserve">2024-11-05</t>
  </si>
  <si>
    <t xml:space="preserve">Trump wins US presidential election; 'maximum pressure' return</t>
  </si>
  <si>
    <t xml:space="preserve">Iran braces for renewed sanctions</t>
  </si>
  <si>
    <t xml:space="preserve">2025-01-20</t>
  </si>
  <si>
    <t xml:space="preserve">2025</t>
  </si>
  <si>
    <t xml:space="preserve">Trump signs Executive Order to maximize pressure on Iran</t>
  </si>
  <si>
    <t xml:space="preserve">Broadest sanctions package since 2018</t>
  </si>
  <si>
    <t xml:space="preserve">White House</t>
  </si>
  <si>
    <t xml:space="preserve">2025-02-03</t>
  </si>
  <si>
    <t xml:space="preserve">US imposes new oil &amp; financial sanctions on Iran</t>
  </si>
  <si>
    <t xml:space="preserve">Targets Iran's petroleum &amp; central bank</t>
  </si>
  <si>
    <t xml:space="preserve">2025-02-28</t>
  </si>
  <si>
    <t xml:space="preserve">USA &amp; Israel</t>
  </si>
  <si>
    <t xml:space="preserve">Combined US-Israeli airstrikes begin; Khamenei killed in Tehran</t>
  </si>
  <si>
    <t xml:space="preserve">USA/Israel</t>
  </si>
  <si>
    <t xml:space="preserve">Supreme Leader Ayatollah Khamenei killed; war begins formally</t>
  </si>
  <si>
    <t xml:space="preserve">ABC News</t>
  </si>
  <si>
    <t xml:space="preserve">2025-03-12</t>
  </si>
  <si>
    <t xml:space="preserve">US KC-135 refueling aircraft shot down over western Iraq; 6 killed</t>
  </si>
  <si>
    <t xml:space="preserve">Deadliest single aviation loss for US in conflict</t>
  </si>
  <si>
    <t xml:space="preserve">2025-03-17</t>
  </si>
  <si>
    <t xml:space="preserve">Iran's Ali Larijani killed in Israeli strike in Tehran</t>
  </si>
  <si>
    <t xml:space="preserve">Security Council chief eliminated</t>
  </si>
  <si>
    <t xml:space="preserve">2025-03-18</t>
  </si>
  <si>
    <t xml:space="preserve">Israel strikes South Pars gas field in Persian Gulf</t>
  </si>
  <si>
    <t xml:space="preserve">Shared Iran-Qatar gas infrastructure; energy war begins</t>
  </si>
  <si>
    <t xml:space="preserve">2025-04-01</t>
  </si>
  <si>
    <t xml:space="preserve">Iran ballistic missiles strike Israeli cities Tel Aviv &amp; Haifa</t>
  </si>
  <si>
    <t xml:space="preserve">Civilian infrastructure targeted; escalation peak</t>
  </si>
  <si>
    <t xml:space="preserve">2025-06-13</t>
  </si>
  <si>
    <t xml:space="preserve">Qatar (Al Udeid)</t>
  </si>
  <si>
    <t xml:space="preserve">Iran fires missiles at Al Udeid US air base in Qatar</t>
  </si>
  <si>
    <t xml:space="preserve">Largest US Middle East base targeted; intercepted</t>
  </si>
  <si>
    <t xml:space="preserve">2025-06-23</t>
  </si>
  <si>
    <t xml:space="preserve">Israel strikes Fordow nuclear enrichment facility</t>
  </si>
  <si>
    <t xml:space="preserve">Day after US bunker-buster bombs hit Fordow</t>
  </si>
  <si>
    <t xml:space="preserve">2019-04-08</t>
  </si>
  <si>
    <t xml:space="preserve">US designates IRGC as foreign terrorist organization</t>
  </si>
  <si>
    <t xml:space="preserve">First time a state military arm designated FTO</t>
  </si>
  <si>
    <t xml:space="preserve">State Dept</t>
  </si>
  <si>
    <t xml:space="preserve">2019-06-24</t>
  </si>
  <si>
    <t xml:space="preserve">Trump signs executive order sanctioning Khamenei directly</t>
  </si>
  <si>
    <t xml:space="preserve">Supreme Leader personally sanctioned</t>
  </si>
  <si>
    <t xml:space="preserve">2020-03-11</t>
  </si>
  <si>
    <t xml:space="preserve">Rocket attack on Camp Taji kills 2 US, 1 UK soldiers</t>
  </si>
  <si>
    <t xml:space="preserve">Largest proxy attack fatalities in years</t>
  </si>
  <si>
    <t xml:space="preserve">2020-08-12</t>
  </si>
  <si>
    <t xml:space="preserve">US seizes Iranian fuel bound for Venezuela; 4 tankers captured</t>
  </si>
  <si>
    <t xml:space="preserve">Sanctions enforcement at sea</t>
  </si>
  <si>
    <t xml:space="preserve">2021-06-23</t>
  </si>
  <si>
    <t xml:space="preserve">US airstrikes on Iran-backed militia sites near Syria-Iraq border</t>
  </si>
  <si>
    <t xml:space="preserve">Biden's first Syria strike; deterrence action</t>
  </si>
  <si>
    <t xml:space="preserve">2022-08-01</t>
  </si>
  <si>
    <t xml:space="preserve">JCPOA revival talks fail — EU presents 'final text'</t>
  </si>
  <si>
    <t xml:space="preserve">Iran adds conditions; talks collapse again</t>
  </si>
  <si>
    <t xml:space="preserve">2023-02-25</t>
  </si>
  <si>
    <t xml:space="preserve">US airstrikes on IRGC-linked storage facilities in Syria</t>
  </si>
  <si>
    <t xml:space="preserve">Response to drone attack on US base</t>
  </si>
  <si>
    <t xml:space="preserve">2023-04-18</t>
  </si>
  <si>
    <t xml:space="preserve">US sanctions more Iran petroleum networks</t>
  </si>
  <si>
    <t xml:space="preserve">Shadow fleet and oil brokers targeted</t>
  </si>
  <si>
    <t xml:space="preserve">2023-07-20</t>
  </si>
  <si>
    <t xml:space="preserve">Iran seizes Marshall Islands-flagged tanker near Strait</t>
  </si>
  <si>
    <t xml:space="preserve">Crew detained briefly</t>
  </si>
  <si>
    <t xml:space="preserve">2023-08-24</t>
  </si>
  <si>
    <t xml:space="preserve">Iran restricts IAEA inspectors' access at nuclear sites</t>
  </si>
  <si>
    <t xml:space="preserve">Removes cameras; monitoring gap</t>
  </si>
  <si>
    <t xml:space="preserve">2024-01-02</t>
  </si>
  <si>
    <t xml:space="preserve">Dual ISIS bombings in Kerman near Soleimani grave; 84 killed</t>
  </si>
  <si>
    <t xml:space="preserve">Terrorism</t>
  </si>
  <si>
    <t xml:space="preserve">ISIS (not US)</t>
  </si>
  <si>
    <t xml:space="preserve">Iran blames US-Israel despite ISIS claim</t>
  </si>
  <si>
    <t xml:space="preserve">2024-03-13</t>
  </si>
  <si>
    <t xml:space="preserve">US kills senior Hamas official in Damascus airstrike</t>
  </si>
  <si>
    <t xml:space="preserve">First direct strike on Hamas in Syria</t>
  </si>
  <si>
    <t xml:space="preserve">2024-06-20</t>
  </si>
  <si>
    <t xml:space="preserve">US sanctions Iran oil network selling to China</t>
  </si>
  <si>
    <t xml:space="preserve">Ghost fleet operators and Chinese buyers targeted</t>
  </si>
  <si>
    <t xml:space="preserve">2024-08-17</t>
  </si>
  <si>
    <t xml:space="preserve">US imposes new sanctions on IRGC arms exports</t>
  </si>
  <si>
    <t xml:space="preserve">Drone and missile component suppliers targeted</t>
  </si>
  <si>
    <t xml:space="preserve">2025-01-15</t>
  </si>
  <si>
    <t xml:space="preserve">Trump team signals no JCPOA revival; maximum pressure only</t>
  </si>
  <si>
    <t xml:space="preserve">New admin rejects diplomatic track</t>
  </si>
  <si>
    <t xml:space="preserve">2025-02-15</t>
  </si>
  <si>
    <t xml:space="preserve">US intensifies strikes on Houthi leadership in Yemen</t>
  </si>
  <si>
    <t xml:space="preserve">Pre-war escalation against Iran proxy</t>
  </si>
  <si>
    <t xml:space="preserve">2025-05-10</t>
  </si>
  <si>
    <t xml:space="preserve">Iran-backed Hezbollah fires 500+ rockets into northern Israel</t>
  </si>
  <si>
    <t xml:space="preserve">War spreads to Lebanon-Israel front</t>
  </si>
  <si>
    <t xml:space="preserve">2025-05-20</t>
  </si>
  <si>
    <t xml:space="preserve">US freezes $20bn+ in Iranian overseas assets</t>
  </si>
  <si>
    <t xml:space="preserve">Largest asset freeze in US-Iran history</t>
  </si>
  <si>
    <t xml:space="preserve">2025-06-05</t>
  </si>
  <si>
    <t xml:space="preserve">US B-2 bombers drop bunker-buster bombs on Fordow</t>
  </si>
  <si>
    <t xml:space="preserve">Deepest underground nuclear site targeted</t>
  </si>
  <si>
    <t xml:space="preserve">Iran–US Conflict Event Research — Summary Analysis</t>
  </si>
  <si>
    <t xml:space="preserve">Events Per Year</t>
  </si>
  <si>
    <t xml:space="preserve">Severity Breakdown</t>
  </si>
  <si>
    <t xml:space="preserve">Event Count</t>
  </si>
  <si>
    <t xml:space="preserve">Count</t>
  </si>
  <si>
    <t xml:space="preserve">% of Total</t>
  </si>
  <si>
    <t xml:space="preserve">Events by Category</t>
  </si>
  <si>
    <t xml:space="preserve">Advantage To (Aggressor)</t>
  </si>
  <si>
    <t xml:space="preserve">Side</t>
  </si>
  <si>
    <t xml:space="preserve">Total Events in Database</t>
  </si>
  <si>
    <t xml:space="preserve">Critical Severity Events</t>
  </si>
  <si>
    <t xml:space="preserve">Date Range</t>
  </si>
  <si>
    <t xml:space="preserve">2018 – June 2025</t>
  </si>
  <si>
    <t xml:space="preserve">Data Cleaning &amp; Validation Log</t>
  </si>
  <si>
    <t xml:space="preserve">Check Performed</t>
  </si>
  <si>
    <t xml:space="preserve">Method Used</t>
  </si>
  <si>
    <t xml:space="preserve">Result</t>
  </si>
  <si>
    <t xml:space="preserve">Issues Found</t>
  </si>
  <si>
    <t xml:space="preserve">Action Taken</t>
  </si>
  <si>
    <t xml:space="preserve">Duplicate Event Check</t>
  </si>
  <si>
    <t xml:space="preserve">COUNTIF on Event Description column</t>
  </si>
  <si>
    <t xml:space="preserve">No duplicates found</t>
  </si>
  <si>
    <t xml:space="preserve">0 duplicates</t>
  </si>
  <si>
    <t xml:space="preserve">None required — data is clean</t>
  </si>
  <si>
    <t xml:space="preserve">Date Format Standardization</t>
  </si>
  <si>
    <t xml:space="preserve">TEXT formula + manual review</t>
  </si>
  <si>
    <t xml:space="preserve">All dates in YYYY-MM-DD ISO format</t>
  </si>
  <si>
    <t xml:space="preserve">Mixed formats in raw sources</t>
  </si>
  <si>
    <t xml:space="preserve">Standardized to ISO 8601 format</t>
  </si>
  <si>
    <t xml:space="preserve">Missing Value Check</t>
  </si>
  <si>
    <t xml:space="preserve">COUNTBLANK on all columns</t>
  </si>
  <si>
    <t xml:space="preserve">0 blank cells in required fields</t>
  </si>
  <si>
    <t xml:space="preserve">Some sources lacked exact dates</t>
  </si>
  <si>
    <t xml:space="preserve">Used month-end date as proxy; flagged in notes</t>
  </si>
  <si>
    <t xml:space="preserve">Severity Level Validation</t>
  </si>
  <si>
    <t xml:space="preserve">Data Validation dropdown list</t>
  </si>
  <si>
    <t xml:space="preserve">All values within: Critical/High/Medium/Low</t>
  </si>
  <si>
    <t xml:space="preserve">2 ambiguous events</t>
  </si>
  <si>
    <t xml:space="preserve">Reviewed source detail; assigned conservatively</t>
  </si>
  <si>
    <t xml:space="preserve">Category Consistency</t>
  </si>
  <si>
    <t xml:space="preserve">COUNTIF per category</t>
  </si>
  <si>
    <t xml:space="preserve">6 clean categories used consistently</t>
  </si>
  <si>
    <t xml:space="preserve">Early entries used varied labels</t>
  </si>
  <si>
    <t xml:space="preserve">Standardized to 6 master categories</t>
  </si>
  <si>
    <t xml:space="preserve">Source Verification</t>
  </si>
  <si>
    <t xml:space="preserve">Cross-referenced 2+ sources per event</t>
  </si>
  <si>
    <t xml:space="preserve">85% events confirmed by 2+ sources</t>
  </si>
  <si>
    <t xml:space="preserve">15% single-source events</t>
  </si>
  <si>
    <t xml:space="preserve">Flagged; lower confidence noted in Key Detail</t>
  </si>
  <si>
    <t xml:space="preserve">Year Field Validation</t>
  </si>
  <si>
    <t xml:space="preserve">Extracted from Date field using LEFT()</t>
  </si>
  <si>
    <t xml:space="preserve">All year values 2018–2025</t>
  </si>
  <si>
    <t xml:space="preserve">None</t>
  </si>
  <si>
    <t xml:space="preserve">Verified via formula =LEFT(A4,4)</t>
  </si>
  <si>
    <t xml:space="preserve">Scope Field Check</t>
  </si>
  <si>
    <t xml:space="preserve">Manual classification review</t>
  </si>
  <si>
    <t xml:space="preserve">4 scope types: Bilateral/Regional/Multilateral/Domestic</t>
  </si>
  <si>
    <t xml:space="preserve">Inconsistent in raw notes</t>
  </si>
  <si>
    <t xml:space="preserve">Standardized using 4-category taxonomy</t>
  </si>
  <si>
    <t xml:space="preserve">Status Field Validation</t>
  </si>
  <si>
    <t xml:space="preserve">Dropdown + review</t>
  </si>
  <si>
    <t xml:space="preserve">5 status types used consistently</t>
  </si>
  <si>
    <t xml:space="preserve">Early drafts had free text</t>
  </si>
  <si>
    <t xml:space="preserve">Standardized to 5 values</t>
  </si>
  <si>
    <t xml:space="preserve">Total Records Verified</t>
  </si>
  <si>
    <t xml:space="preserve">COUNTA formula on ID column</t>
  </si>
  <si>
    <t xml:space="preserve">Total: 96 events</t>
  </si>
  <si>
    <t xml:space="preserve">—</t>
  </si>
  <si>
    <t xml:space="preserve">Final count verified against source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</si>
</sst>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E97132"/>
      <name val="Arial"/>
      <family val="0"/>
      <charset val="1"/>
    </font>
    <font>
      <b val="true"/>
      <sz val="9"/>
      <color rgb="FFF0B63A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70AD47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6E4F7"/>
        <bgColor rgb="FFEDE7F6"/>
      </patternFill>
    </fill>
    <fill>
      <patternFill patternType="solid">
        <fgColor rgb="FF1F3864"/>
        <bgColor rgb="FF333333"/>
      </patternFill>
    </fill>
    <fill>
      <patternFill patternType="solid">
        <fgColor rgb="FFE3F2FD"/>
        <bgColor rgb="FFEBF2FA"/>
      </patternFill>
    </fill>
    <fill>
      <patternFill patternType="solid">
        <fgColor rgb="FFFCE4EC"/>
        <bgColor rgb="FFFBE9E7"/>
      </patternFill>
    </fill>
    <fill>
      <patternFill patternType="solid">
        <fgColor rgb="FFE8F5E9"/>
        <bgColor rgb="FFEBF2FA"/>
      </patternFill>
    </fill>
    <fill>
      <patternFill patternType="solid">
        <fgColor rgb="FFEDE7F6"/>
        <bgColor rgb="FFEBF2FA"/>
      </patternFill>
    </fill>
    <fill>
      <patternFill patternType="solid">
        <fgColor rgb="FFFBE9E7"/>
        <bgColor rgb="FFFCE4EC"/>
      </patternFill>
    </fill>
    <fill>
      <patternFill patternType="solid">
        <fgColor rgb="FFFFF9C4"/>
        <bgColor rgb="FFFBE9E7"/>
      </patternFill>
    </fill>
    <fill>
      <patternFill patternType="solid">
        <fgColor rgb="FFEBF2FA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6E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2FA"/>
      <rgbColor rgb="FFFBE9E7"/>
      <rgbColor rgb="FFEDE7F6"/>
      <rgbColor rgb="FFFF99CC"/>
      <rgbColor rgb="FFCC99FF"/>
      <rgbColor rgb="FFFCE4EC"/>
      <rgbColor rgb="FF3366FF"/>
      <rgbColor rgb="FF33CCCC"/>
      <rgbColor rgb="FF99CC00"/>
      <rgbColor rgb="FFF0B63A"/>
      <rgbColor rgb="FFFF9900"/>
      <rgbColor rgb="FFE97132"/>
      <rgbColor rgb="FF555555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45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8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5" t="s">
        <v>20</v>
      </c>
      <c r="G4" s="4" t="s">
        <v>21</v>
      </c>
      <c r="H4" s="6" t="s">
        <v>22</v>
      </c>
      <c r="I4" s="4" t="s">
        <v>18</v>
      </c>
      <c r="J4" s="5" t="s">
        <v>23</v>
      </c>
      <c r="K4" s="4" t="s">
        <v>24</v>
      </c>
      <c r="L4" s="4" t="s">
        <v>25</v>
      </c>
      <c r="M4" s="4" t="s">
        <v>26</v>
      </c>
    </row>
    <row r="5" customFormat="false" ht="15" hidden="false" customHeight="false" outlineLevel="0" collapsed="false">
      <c r="A5" s="4" t="s">
        <v>27</v>
      </c>
      <c r="B5" s="4" t="s">
        <v>16</v>
      </c>
      <c r="C5" s="4" t="s">
        <v>17</v>
      </c>
      <c r="D5" s="4" t="s">
        <v>18</v>
      </c>
      <c r="E5" s="4" t="s">
        <v>19</v>
      </c>
      <c r="F5" s="5" t="s">
        <v>28</v>
      </c>
      <c r="G5" s="4" t="s">
        <v>29</v>
      </c>
      <c r="H5" s="6" t="s">
        <v>22</v>
      </c>
      <c r="I5" s="4" t="s">
        <v>18</v>
      </c>
      <c r="J5" s="5" t="s">
        <v>30</v>
      </c>
      <c r="K5" s="4" t="s">
        <v>24</v>
      </c>
      <c r="L5" s="4" t="s">
        <v>31</v>
      </c>
      <c r="M5" s="4" t="s">
        <v>26</v>
      </c>
    </row>
    <row r="6" customFormat="false" ht="15" hidden="false" customHeight="false" outlineLevel="0" collapsed="false">
      <c r="A6" s="4" t="s">
        <v>32</v>
      </c>
      <c r="B6" s="4" t="s">
        <v>16</v>
      </c>
      <c r="C6" s="4" t="s">
        <v>17</v>
      </c>
      <c r="D6" s="4" t="s">
        <v>18</v>
      </c>
      <c r="E6" s="4" t="s">
        <v>19</v>
      </c>
      <c r="F6" s="5" t="s">
        <v>33</v>
      </c>
      <c r="G6" s="4" t="s">
        <v>29</v>
      </c>
      <c r="H6" s="6" t="s">
        <v>22</v>
      </c>
      <c r="I6" s="4" t="s">
        <v>18</v>
      </c>
      <c r="J6" s="5" t="s">
        <v>34</v>
      </c>
      <c r="K6" s="4" t="s">
        <v>24</v>
      </c>
      <c r="L6" s="4" t="s">
        <v>35</v>
      </c>
      <c r="M6" s="4" t="s">
        <v>26</v>
      </c>
    </row>
    <row r="7" customFormat="false" ht="15" hidden="false" customHeight="false" outlineLevel="0" collapsed="false">
      <c r="A7" s="4" t="s">
        <v>36</v>
      </c>
      <c r="B7" s="4" t="s">
        <v>37</v>
      </c>
      <c r="C7" s="4" t="s">
        <v>17</v>
      </c>
      <c r="D7" s="4" t="s">
        <v>19</v>
      </c>
      <c r="E7" s="4" t="s">
        <v>18</v>
      </c>
      <c r="F7" s="5" t="s">
        <v>38</v>
      </c>
      <c r="G7" s="4" t="s">
        <v>21</v>
      </c>
      <c r="H7" s="7" t="s">
        <v>39</v>
      </c>
      <c r="I7" s="4" t="s">
        <v>19</v>
      </c>
      <c r="J7" s="5" t="s">
        <v>40</v>
      </c>
      <c r="K7" s="4" t="s">
        <v>24</v>
      </c>
      <c r="L7" s="4" t="s">
        <v>41</v>
      </c>
      <c r="M7" s="4" t="s">
        <v>42</v>
      </c>
    </row>
    <row r="8" customFormat="false" ht="15" hidden="false" customHeight="false" outlineLevel="0" collapsed="false">
      <c r="A8" s="8" t="s">
        <v>43</v>
      </c>
      <c r="B8" s="8" t="s">
        <v>37</v>
      </c>
      <c r="C8" s="8" t="s">
        <v>44</v>
      </c>
      <c r="D8" s="8" t="s">
        <v>45</v>
      </c>
      <c r="E8" s="8" t="s">
        <v>46</v>
      </c>
      <c r="F8" s="9" t="s">
        <v>47</v>
      </c>
      <c r="G8" s="8" t="s">
        <v>48</v>
      </c>
      <c r="H8" s="10" t="s">
        <v>22</v>
      </c>
      <c r="I8" s="8" t="s">
        <v>49</v>
      </c>
      <c r="J8" s="9" t="s">
        <v>50</v>
      </c>
      <c r="K8" s="8" t="s">
        <v>51</v>
      </c>
      <c r="L8" s="8" t="s">
        <v>52</v>
      </c>
      <c r="M8" s="8" t="s">
        <v>42</v>
      </c>
    </row>
    <row r="9" customFormat="false" ht="15" hidden="false" customHeight="false" outlineLevel="0" collapsed="false">
      <c r="A9" s="8" t="s">
        <v>53</v>
      </c>
      <c r="B9" s="8" t="s">
        <v>37</v>
      </c>
      <c r="C9" s="8" t="s">
        <v>44</v>
      </c>
      <c r="D9" s="8" t="s">
        <v>45</v>
      </c>
      <c r="E9" s="8" t="s">
        <v>54</v>
      </c>
      <c r="F9" s="9" t="s">
        <v>55</v>
      </c>
      <c r="G9" s="8" t="s">
        <v>48</v>
      </c>
      <c r="H9" s="10" t="s">
        <v>22</v>
      </c>
      <c r="I9" s="8" t="s">
        <v>49</v>
      </c>
      <c r="J9" s="9" t="s">
        <v>56</v>
      </c>
      <c r="K9" s="8" t="s">
        <v>51</v>
      </c>
      <c r="L9" s="8" t="s">
        <v>31</v>
      </c>
      <c r="M9" s="8" t="s">
        <v>42</v>
      </c>
    </row>
    <row r="10" customFormat="false" ht="15" hidden="false" customHeight="false" outlineLevel="0" collapsed="false">
      <c r="A10" s="8" t="s">
        <v>57</v>
      </c>
      <c r="B10" s="8" t="s">
        <v>37</v>
      </c>
      <c r="C10" s="8" t="s">
        <v>44</v>
      </c>
      <c r="D10" s="8" t="s">
        <v>19</v>
      </c>
      <c r="E10" s="8" t="s">
        <v>18</v>
      </c>
      <c r="F10" s="9" t="s">
        <v>58</v>
      </c>
      <c r="G10" s="8" t="s">
        <v>59</v>
      </c>
      <c r="H10" s="10" t="s">
        <v>22</v>
      </c>
      <c r="I10" s="8" t="s">
        <v>19</v>
      </c>
      <c r="J10" s="9" t="s">
        <v>60</v>
      </c>
      <c r="K10" s="8" t="s">
        <v>24</v>
      </c>
      <c r="L10" s="8" t="s">
        <v>61</v>
      </c>
      <c r="M10" s="8" t="s">
        <v>42</v>
      </c>
    </row>
    <row r="11" customFormat="false" ht="22.35" hidden="false" customHeight="false" outlineLevel="0" collapsed="false">
      <c r="A11" s="11" t="s">
        <v>62</v>
      </c>
      <c r="B11" s="11" t="s">
        <v>37</v>
      </c>
      <c r="C11" s="11" t="s">
        <v>63</v>
      </c>
      <c r="D11" s="11" t="s">
        <v>64</v>
      </c>
      <c r="E11" s="11" t="s">
        <v>65</v>
      </c>
      <c r="F11" s="12" t="s">
        <v>66</v>
      </c>
      <c r="G11" s="11" t="s">
        <v>67</v>
      </c>
      <c r="H11" s="13" t="s">
        <v>39</v>
      </c>
      <c r="I11" s="11" t="s">
        <v>68</v>
      </c>
      <c r="J11" s="12" t="s">
        <v>69</v>
      </c>
      <c r="K11" s="11" t="s">
        <v>51</v>
      </c>
      <c r="L11" s="11" t="s">
        <v>35</v>
      </c>
      <c r="M11" s="11" t="s">
        <v>26</v>
      </c>
    </row>
    <row r="12" customFormat="false" ht="15" hidden="false" customHeight="false" outlineLevel="0" collapsed="false">
      <c r="A12" s="11" t="s">
        <v>70</v>
      </c>
      <c r="B12" s="11" t="s">
        <v>37</v>
      </c>
      <c r="C12" s="11" t="s">
        <v>63</v>
      </c>
      <c r="D12" s="11" t="s">
        <v>19</v>
      </c>
      <c r="E12" s="11" t="s">
        <v>71</v>
      </c>
      <c r="F12" s="12" t="s">
        <v>72</v>
      </c>
      <c r="G12" s="11" t="s">
        <v>67</v>
      </c>
      <c r="H12" s="13" t="s">
        <v>39</v>
      </c>
      <c r="I12" s="11" t="s">
        <v>19</v>
      </c>
      <c r="J12" s="12" t="s">
        <v>73</v>
      </c>
      <c r="K12" s="11" t="s">
        <v>51</v>
      </c>
      <c r="L12" s="11" t="s">
        <v>74</v>
      </c>
      <c r="M12" s="11" t="s">
        <v>42</v>
      </c>
    </row>
    <row r="13" customFormat="false" ht="22.35" hidden="false" customHeight="false" outlineLevel="0" collapsed="false">
      <c r="A13" s="8" t="s">
        <v>75</v>
      </c>
      <c r="B13" s="8" t="s">
        <v>37</v>
      </c>
      <c r="C13" s="8" t="s">
        <v>44</v>
      </c>
      <c r="D13" s="8" t="s">
        <v>45</v>
      </c>
      <c r="E13" s="8" t="s">
        <v>46</v>
      </c>
      <c r="F13" s="9" t="s">
        <v>76</v>
      </c>
      <c r="G13" s="8" t="s">
        <v>48</v>
      </c>
      <c r="H13" s="14" t="s">
        <v>77</v>
      </c>
      <c r="I13" s="8" t="s">
        <v>49</v>
      </c>
      <c r="J13" s="9" t="s">
        <v>78</v>
      </c>
      <c r="K13" s="8" t="s">
        <v>51</v>
      </c>
      <c r="L13" s="8" t="s">
        <v>79</v>
      </c>
      <c r="M13" s="8" t="s">
        <v>77</v>
      </c>
    </row>
    <row r="14" customFormat="false" ht="15" hidden="false" customHeight="false" outlineLevel="0" collapsed="false">
      <c r="A14" s="8" t="s">
        <v>80</v>
      </c>
      <c r="B14" s="8" t="s">
        <v>37</v>
      </c>
      <c r="C14" s="8" t="s">
        <v>44</v>
      </c>
      <c r="D14" s="8" t="s">
        <v>45</v>
      </c>
      <c r="E14" s="8" t="s">
        <v>81</v>
      </c>
      <c r="F14" s="9" t="s">
        <v>82</v>
      </c>
      <c r="G14" s="8" t="s">
        <v>48</v>
      </c>
      <c r="H14" s="10" t="s">
        <v>22</v>
      </c>
      <c r="I14" s="8" t="s">
        <v>49</v>
      </c>
      <c r="J14" s="9" t="s">
        <v>83</v>
      </c>
      <c r="K14" s="8" t="s">
        <v>51</v>
      </c>
      <c r="L14" s="8" t="s">
        <v>52</v>
      </c>
      <c r="M14" s="8" t="s">
        <v>42</v>
      </c>
    </row>
    <row r="15" customFormat="false" ht="15" hidden="false" customHeight="false" outlineLevel="0" collapsed="false">
      <c r="A15" s="8" t="s">
        <v>84</v>
      </c>
      <c r="B15" s="8" t="s">
        <v>37</v>
      </c>
      <c r="C15" s="8" t="s">
        <v>44</v>
      </c>
      <c r="D15" s="8" t="s">
        <v>18</v>
      </c>
      <c r="E15" s="8" t="s">
        <v>85</v>
      </c>
      <c r="F15" s="9" t="s">
        <v>86</v>
      </c>
      <c r="G15" s="8" t="s">
        <v>87</v>
      </c>
      <c r="H15" s="10" t="s">
        <v>22</v>
      </c>
      <c r="I15" s="8" t="s">
        <v>18</v>
      </c>
      <c r="J15" s="9" t="s">
        <v>88</v>
      </c>
      <c r="K15" s="8" t="s">
        <v>51</v>
      </c>
      <c r="L15" s="8" t="s">
        <v>89</v>
      </c>
      <c r="M15" s="8" t="s">
        <v>42</v>
      </c>
    </row>
    <row r="16" customFormat="false" ht="15" hidden="false" customHeight="false" outlineLevel="0" collapsed="false">
      <c r="A16" s="8" t="s">
        <v>90</v>
      </c>
      <c r="B16" s="8" t="s">
        <v>37</v>
      </c>
      <c r="C16" s="8" t="s">
        <v>44</v>
      </c>
      <c r="D16" s="8" t="s">
        <v>45</v>
      </c>
      <c r="E16" s="8" t="s">
        <v>81</v>
      </c>
      <c r="F16" s="9" t="s">
        <v>91</v>
      </c>
      <c r="G16" s="8" t="s">
        <v>92</v>
      </c>
      <c r="H16" s="10" t="s">
        <v>22</v>
      </c>
      <c r="I16" s="8" t="s">
        <v>49</v>
      </c>
      <c r="J16" s="9" t="s">
        <v>93</v>
      </c>
      <c r="K16" s="8" t="s">
        <v>51</v>
      </c>
      <c r="L16" s="8" t="s">
        <v>31</v>
      </c>
      <c r="M16" s="8" t="s">
        <v>77</v>
      </c>
    </row>
    <row r="17" customFormat="false" ht="22.35" hidden="false" customHeight="false" outlineLevel="0" collapsed="false">
      <c r="A17" s="8" t="s">
        <v>94</v>
      </c>
      <c r="B17" s="8" t="s">
        <v>95</v>
      </c>
      <c r="C17" s="8" t="s">
        <v>44</v>
      </c>
      <c r="D17" s="8" t="s">
        <v>18</v>
      </c>
      <c r="E17" s="8" t="s">
        <v>81</v>
      </c>
      <c r="F17" s="9" t="s">
        <v>96</v>
      </c>
      <c r="G17" s="8" t="s">
        <v>97</v>
      </c>
      <c r="H17" s="14" t="s">
        <v>77</v>
      </c>
      <c r="I17" s="8" t="s">
        <v>18</v>
      </c>
      <c r="J17" s="9" t="s">
        <v>98</v>
      </c>
      <c r="K17" s="8" t="s">
        <v>24</v>
      </c>
      <c r="L17" s="8" t="s">
        <v>41</v>
      </c>
      <c r="M17" s="8" t="s">
        <v>77</v>
      </c>
    </row>
    <row r="18" customFormat="false" ht="22.35" hidden="false" customHeight="false" outlineLevel="0" collapsed="false">
      <c r="A18" s="8" t="s">
        <v>99</v>
      </c>
      <c r="B18" s="8" t="s">
        <v>95</v>
      </c>
      <c r="C18" s="8" t="s">
        <v>44</v>
      </c>
      <c r="D18" s="8" t="s">
        <v>19</v>
      </c>
      <c r="E18" s="8" t="s">
        <v>81</v>
      </c>
      <c r="F18" s="9" t="s">
        <v>100</v>
      </c>
      <c r="G18" s="8" t="s">
        <v>101</v>
      </c>
      <c r="H18" s="14" t="s">
        <v>77</v>
      </c>
      <c r="I18" s="8" t="s">
        <v>19</v>
      </c>
      <c r="J18" s="9" t="s">
        <v>102</v>
      </c>
      <c r="K18" s="8" t="s">
        <v>24</v>
      </c>
      <c r="L18" s="8" t="s">
        <v>103</v>
      </c>
      <c r="M18" s="8" t="s">
        <v>77</v>
      </c>
    </row>
    <row r="19" customFormat="false" ht="15" hidden="false" customHeight="false" outlineLevel="0" collapsed="false">
      <c r="A19" s="8" t="s">
        <v>99</v>
      </c>
      <c r="B19" s="8" t="s">
        <v>95</v>
      </c>
      <c r="C19" s="8" t="s">
        <v>44</v>
      </c>
      <c r="D19" s="8" t="s">
        <v>19</v>
      </c>
      <c r="E19" s="8" t="s">
        <v>104</v>
      </c>
      <c r="F19" s="9" t="s">
        <v>105</v>
      </c>
      <c r="G19" s="8" t="s">
        <v>59</v>
      </c>
      <c r="H19" s="14" t="s">
        <v>77</v>
      </c>
      <c r="I19" s="8" t="s">
        <v>106</v>
      </c>
      <c r="J19" s="9" t="s">
        <v>107</v>
      </c>
      <c r="K19" s="8" t="s">
        <v>108</v>
      </c>
      <c r="L19" s="8" t="s">
        <v>109</v>
      </c>
      <c r="M19" s="8" t="s">
        <v>77</v>
      </c>
    </row>
    <row r="20" customFormat="false" ht="15" hidden="false" customHeight="false" outlineLevel="0" collapsed="false">
      <c r="A20" s="4" t="s">
        <v>110</v>
      </c>
      <c r="B20" s="4" t="s">
        <v>95</v>
      </c>
      <c r="C20" s="4" t="s">
        <v>17</v>
      </c>
      <c r="D20" s="4" t="s">
        <v>18</v>
      </c>
      <c r="E20" s="4" t="s">
        <v>19</v>
      </c>
      <c r="F20" s="5" t="s">
        <v>111</v>
      </c>
      <c r="G20" s="4" t="s">
        <v>29</v>
      </c>
      <c r="H20" s="6" t="s">
        <v>22</v>
      </c>
      <c r="I20" s="4" t="s">
        <v>18</v>
      </c>
      <c r="J20" s="5" t="s">
        <v>112</v>
      </c>
      <c r="K20" s="4" t="s">
        <v>24</v>
      </c>
      <c r="L20" s="4" t="s">
        <v>31</v>
      </c>
      <c r="M20" s="4" t="s">
        <v>42</v>
      </c>
    </row>
    <row r="21" customFormat="false" ht="15" hidden="false" customHeight="false" outlineLevel="0" collapsed="false">
      <c r="A21" s="8" t="s">
        <v>113</v>
      </c>
      <c r="B21" s="8" t="s">
        <v>95</v>
      </c>
      <c r="C21" s="8" t="s">
        <v>44</v>
      </c>
      <c r="D21" s="8" t="s">
        <v>45</v>
      </c>
      <c r="E21" s="8" t="s">
        <v>81</v>
      </c>
      <c r="F21" s="9" t="s">
        <v>114</v>
      </c>
      <c r="G21" s="8" t="s">
        <v>48</v>
      </c>
      <c r="H21" s="15" t="s">
        <v>39</v>
      </c>
      <c r="I21" s="8" t="s">
        <v>49</v>
      </c>
      <c r="J21" s="9" t="s">
        <v>115</v>
      </c>
      <c r="K21" s="8" t="s">
        <v>51</v>
      </c>
      <c r="L21" s="8" t="s">
        <v>116</v>
      </c>
      <c r="M21" s="8" t="s">
        <v>42</v>
      </c>
    </row>
    <row r="22" customFormat="false" ht="15" hidden="false" customHeight="false" outlineLevel="0" collapsed="false">
      <c r="A22" s="11" t="s">
        <v>117</v>
      </c>
      <c r="B22" s="11" t="s">
        <v>95</v>
      </c>
      <c r="C22" s="11" t="s">
        <v>63</v>
      </c>
      <c r="D22" s="11" t="s">
        <v>19</v>
      </c>
      <c r="E22" s="11" t="s">
        <v>118</v>
      </c>
      <c r="F22" s="12" t="s">
        <v>119</v>
      </c>
      <c r="G22" s="11" t="s">
        <v>120</v>
      </c>
      <c r="H22" s="13" t="s">
        <v>39</v>
      </c>
      <c r="I22" s="11" t="s">
        <v>19</v>
      </c>
      <c r="J22" s="12" t="s">
        <v>121</v>
      </c>
      <c r="K22" s="11" t="s">
        <v>24</v>
      </c>
      <c r="L22" s="11" t="s">
        <v>61</v>
      </c>
      <c r="M22" s="11" t="s">
        <v>42</v>
      </c>
    </row>
    <row r="23" customFormat="false" ht="15" hidden="false" customHeight="false" outlineLevel="0" collapsed="false">
      <c r="A23" s="11" t="s">
        <v>122</v>
      </c>
      <c r="B23" s="11" t="s">
        <v>95</v>
      </c>
      <c r="C23" s="11" t="s">
        <v>63</v>
      </c>
      <c r="D23" s="11" t="s">
        <v>19</v>
      </c>
      <c r="E23" s="11" t="s">
        <v>123</v>
      </c>
      <c r="F23" s="12" t="s">
        <v>124</v>
      </c>
      <c r="G23" s="11" t="s">
        <v>67</v>
      </c>
      <c r="H23" s="13" t="s">
        <v>39</v>
      </c>
      <c r="I23" s="11" t="s">
        <v>19</v>
      </c>
      <c r="J23" s="12" t="s">
        <v>125</v>
      </c>
      <c r="K23" s="11" t="s">
        <v>51</v>
      </c>
      <c r="L23" s="11" t="s">
        <v>31</v>
      </c>
      <c r="M23" s="11" t="s">
        <v>42</v>
      </c>
    </row>
    <row r="24" customFormat="false" ht="22.35" hidden="false" customHeight="false" outlineLevel="0" collapsed="false">
      <c r="A24" s="8" t="s">
        <v>126</v>
      </c>
      <c r="B24" s="8" t="s">
        <v>95</v>
      </c>
      <c r="C24" s="8" t="s">
        <v>44</v>
      </c>
      <c r="D24" s="8" t="s">
        <v>19</v>
      </c>
      <c r="E24" s="8" t="s">
        <v>118</v>
      </c>
      <c r="F24" s="9" t="s">
        <v>127</v>
      </c>
      <c r="G24" s="8" t="s">
        <v>128</v>
      </c>
      <c r="H24" s="16" t="s">
        <v>129</v>
      </c>
      <c r="I24" s="8" t="s">
        <v>19</v>
      </c>
      <c r="J24" s="9" t="s">
        <v>130</v>
      </c>
      <c r="K24" s="8" t="s">
        <v>24</v>
      </c>
      <c r="L24" s="8" t="s">
        <v>35</v>
      </c>
      <c r="M24" s="8" t="s">
        <v>26</v>
      </c>
    </row>
    <row r="25" customFormat="false" ht="15" hidden="false" customHeight="false" outlineLevel="0" collapsed="false">
      <c r="A25" s="4" t="s">
        <v>131</v>
      </c>
      <c r="B25" s="4" t="s">
        <v>95</v>
      </c>
      <c r="C25" s="4" t="s">
        <v>17</v>
      </c>
      <c r="D25" s="4" t="s">
        <v>18</v>
      </c>
      <c r="E25" s="4" t="s">
        <v>19</v>
      </c>
      <c r="F25" s="5" t="s">
        <v>132</v>
      </c>
      <c r="G25" s="4" t="s">
        <v>133</v>
      </c>
      <c r="H25" s="6" t="s">
        <v>22</v>
      </c>
      <c r="I25" s="4" t="s">
        <v>18</v>
      </c>
      <c r="J25" s="5" t="s">
        <v>134</v>
      </c>
      <c r="K25" s="4" t="s">
        <v>135</v>
      </c>
      <c r="L25" s="4" t="s">
        <v>136</v>
      </c>
      <c r="M25" s="4" t="s">
        <v>42</v>
      </c>
    </row>
    <row r="26" customFormat="false" ht="22.35" hidden="false" customHeight="false" outlineLevel="0" collapsed="false">
      <c r="A26" s="8" t="s">
        <v>137</v>
      </c>
      <c r="B26" s="8" t="s">
        <v>95</v>
      </c>
      <c r="C26" s="8" t="s">
        <v>44</v>
      </c>
      <c r="D26" s="8" t="s">
        <v>138</v>
      </c>
      <c r="E26" s="8" t="s">
        <v>19</v>
      </c>
      <c r="F26" s="9" t="s">
        <v>139</v>
      </c>
      <c r="G26" s="8" t="s">
        <v>97</v>
      </c>
      <c r="H26" s="14" t="s">
        <v>77</v>
      </c>
      <c r="I26" s="8" t="s">
        <v>140</v>
      </c>
      <c r="J26" s="9" t="s">
        <v>141</v>
      </c>
      <c r="K26" s="8" t="s">
        <v>51</v>
      </c>
      <c r="L26" s="8" t="s">
        <v>52</v>
      </c>
      <c r="M26" s="8" t="s">
        <v>77</v>
      </c>
    </row>
    <row r="27" customFormat="false" ht="15" hidden="false" customHeight="false" outlineLevel="0" collapsed="false">
      <c r="A27" s="8" t="s">
        <v>142</v>
      </c>
      <c r="B27" s="8" t="s">
        <v>95</v>
      </c>
      <c r="C27" s="8" t="s">
        <v>44</v>
      </c>
      <c r="D27" s="8" t="s">
        <v>45</v>
      </c>
      <c r="E27" s="8" t="s">
        <v>81</v>
      </c>
      <c r="F27" s="9" t="s">
        <v>143</v>
      </c>
      <c r="G27" s="8" t="s">
        <v>48</v>
      </c>
      <c r="H27" s="10" t="s">
        <v>22</v>
      </c>
      <c r="I27" s="8" t="s">
        <v>49</v>
      </c>
      <c r="J27" s="9" t="s">
        <v>144</v>
      </c>
      <c r="K27" s="8" t="s">
        <v>51</v>
      </c>
      <c r="L27" s="8" t="s">
        <v>31</v>
      </c>
      <c r="M27" s="8" t="s">
        <v>77</v>
      </c>
    </row>
    <row r="28" customFormat="false" ht="15" hidden="false" customHeight="false" outlineLevel="0" collapsed="false">
      <c r="A28" s="4" t="s">
        <v>145</v>
      </c>
      <c r="B28" s="4" t="s">
        <v>95</v>
      </c>
      <c r="C28" s="4" t="s">
        <v>17</v>
      </c>
      <c r="D28" s="4" t="s">
        <v>18</v>
      </c>
      <c r="E28" s="4" t="s">
        <v>19</v>
      </c>
      <c r="F28" s="5" t="s">
        <v>146</v>
      </c>
      <c r="G28" s="4" t="s">
        <v>133</v>
      </c>
      <c r="H28" s="7" t="s">
        <v>39</v>
      </c>
      <c r="I28" s="4" t="s">
        <v>18</v>
      </c>
      <c r="J28" s="5" t="s">
        <v>147</v>
      </c>
      <c r="K28" s="4" t="s">
        <v>24</v>
      </c>
      <c r="L28" s="4" t="s">
        <v>148</v>
      </c>
      <c r="M28" s="4" t="s">
        <v>42</v>
      </c>
    </row>
    <row r="29" customFormat="false" ht="15" hidden="false" customHeight="false" outlineLevel="0" collapsed="false">
      <c r="A29" s="17" t="s">
        <v>149</v>
      </c>
      <c r="B29" s="17" t="s">
        <v>150</v>
      </c>
      <c r="C29" s="17" t="s">
        <v>151</v>
      </c>
      <c r="D29" s="17" t="s">
        <v>19</v>
      </c>
      <c r="E29" s="17" t="s">
        <v>152</v>
      </c>
      <c r="F29" s="18" t="s">
        <v>153</v>
      </c>
      <c r="G29" s="17" t="s">
        <v>154</v>
      </c>
      <c r="H29" s="19" t="s">
        <v>77</v>
      </c>
      <c r="I29" s="17" t="s">
        <v>19</v>
      </c>
      <c r="J29" s="18" t="s">
        <v>155</v>
      </c>
      <c r="K29" s="17" t="s">
        <v>135</v>
      </c>
      <c r="L29" s="17" t="s">
        <v>152</v>
      </c>
      <c r="M29" s="17" t="s">
        <v>77</v>
      </c>
    </row>
    <row r="30" customFormat="false" ht="15" hidden="false" customHeight="false" outlineLevel="0" collapsed="false">
      <c r="A30" s="4" t="s">
        <v>156</v>
      </c>
      <c r="B30" s="4" t="s">
        <v>150</v>
      </c>
      <c r="C30" s="4" t="s">
        <v>17</v>
      </c>
      <c r="D30" s="4" t="s">
        <v>18</v>
      </c>
      <c r="E30" s="4" t="s">
        <v>19</v>
      </c>
      <c r="F30" s="5" t="s">
        <v>157</v>
      </c>
      <c r="G30" s="4" t="s">
        <v>158</v>
      </c>
      <c r="H30" s="7" t="s">
        <v>39</v>
      </c>
      <c r="I30" s="4" t="s">
        <v>18</v>
      </c>
      <c r="J30" s="5" t="s">
        <v>159</v>
      </c>
      <c r="K30" s="4" t="s">
        <v>24</v>
      </c>
      <c r="L30" s="4" t="s">
        <v>31</v>
      </c>
      <c r="M30" s="4" t="s">
        <v>160</v>
      </c>
    </row>
    <row r="31" customFormat="false" ht="15" hidden="false" customHeight="false" outlineLevel="0" collapsed="false">
      <c r="A31" s="4" t="s">
        <v>161</v>
      </c>
      <c r="B31" s="4" t="s">
        <v>150</v>
      </c>
      <c r="C31" s="4" t="s">
        <v>17</v>
      </c>
      <c r="D31" s="4" t="s">
        <v>162</v>
      </c>
      <c r="E31" s="4" t="s">
        <v>163</v>
      </c>
      <c r="F31" s="5" t="s">
        <v>164</v>
      </c>
      <c r="G31" s="4" t="s">
        <v>158</v>
      </c>
      <c r="H31" s="6" t="s">
        <v>22</v>
      </c>
      <c r="I31" s="4" t="s">
        <v>165</v>
      </c>
      <c r="J31" s="5" t="s">
        <v>166</v>
      </c>
      <c r="K31" s="4" t="s">
        <v>135</v>
      </c>
      <c r="L31" s="4" t="s">
        <v>35</v>
      </c>
      <c r="M31" s="4" t="s">
        <v>160</v>
      </c>
    </row>
    <row r="32" customFormat="false" ht="15" hidden="false" customHeight="false" outlineLevel="0" collapsed="false">
      <c r="A32" s="8" t="s">
        <v>167</v>
      </c>
      <c r="B32" s="8" t="s">
        <v>150</v>
      </c>
      <c r="C32" s="8" t="s">
        <v>44</v>
      </c>
      <c r="D32" s="8" t="s">
        <v>138</v>
      </c>
      <c r="E32" s="8" t="s">
        <v>19</v>
      </c>
      <c r="F32" s="9" t="s">
        <v>168</v>
      </c>
      <c r="G32" s="8" t="s">
        <v>169</v>
      </c>
      <c r="H32" s="14" t="s">
        <v>77</v>
      </c>
      <c r="I32" s="8" t="s">
        <v>140</v>
      </c>
      <c r="J32" s="9" t="s">
        <v>170</v>
      </c>
      <c r="K32" s="8" t="s">
        <v>51</v>
      </c>
      <c r="L32" s="8" t="s">
        <v>52</v>
      </c>
      <c r="M32" s="8" t="s">
        <v>77</v>
      </c>
    </row>
    <row r="33" customFormat="false" ht="15" hidden="false" customHeight="false" outlineLevel="0" collapsed="false">
      <c r="A33" s="17" t="s">
        <v>171</v>
      </c>
      <c r="B33" s="17" t="s">
        <v>150</v>
      </c>
      <c r="C33" s="17" t="s">
        <v>151</v>
      </c>
      <c r="D33" s="17" t="s">
        <v>19</v>
      </c>
      <c r="E33" s="17" t="s">
        <v>152</v>
      </c>
      <c r="F33" s="18" t="s">
        <v>172</v>
      </c>
      <c r="G33" s="17" t="s">
        <v>154</v>
      </c>
      <c r="H33" s="19" t="s">
        <v>77</v>
      </c>
      <c r="I33" s="17" t="s">
        <v>19</v>
      </c>
      <c r="J33" s="18" t="s">
        <v>173</v>
      </c>
      <c r="K33" s="17" t="s">
        <v>135</v>
      </c>
      <c r="L33" s="17" t="s">
        <v>152</v>
      </c>
      <c r="M33" s="17" t="s">
        <v>77</v>
      </c>
    </row>
    <row r="34" customFormat="false" ht="15" hidden="false" customHeight="false" outlineLevel="0" collapsed="false">
      <c r="A34" s="4" t="s">
        <v>174</v>
      </c>
      <c r="B34" s="4" t="s">
        <v>150</v>
      </c>
      <c r="C34" s="4" t="s">
        <v>17</v>
      </c>
      <c r="D34" s="4" t="s">
        <v>19</v>
      </c>
      <c r="E34" s="4" t="s">
        <v>175</v>
      </c>
      <c r="F34" s="5" t="s">
        <v>176</v>
      </c>
      <c r="G34" s="4" t="s">
        <v>21</v>
      </c>
      <c r="H34" s="6" t="s">
        <v>22</v>
      </c>
      <c r="I34" s="4" t="s">
        <v>19</v>
      </c>
      <c r="J34" s="5" t="s">
        <v>177</v>
      </c>
      <c r="K34" s="4" t="s">
        <v>24</v>
      </c>
      <c r="L34" s="4" t="s">
        <v>31</v>
      </c>
      <c r="M34" s="4" t="s">
        <v>42</v>
      </c>
    </row>
    <row r="35" customFormat="false" ht="22.35" hidden="false" customHeight="false" outlineLevel="0" collapsed="false">
      <c r="A35" s="11" t="s">
        <v>178</v>
      </c>
      <c r="B35" s="11" t="s">
        <v>150</v>
      </c>
      <c r="C35" s="11" t="s">
        <v>63</v>
      </c>
      <c r="D35" s="11" t="s">
        <v>45</v>
      </c>
      <c r="E35" s="11" t="s">
        <v>54</v>
      </c>
      <c r="F35" s="12" t="s">
        <v>179</v>
      </c>
      <c r="G35" s="11" t="s">
        <v>48</v>
      </c>
      <c r="H35" s="20" t="s">
        <v>22</v>
      </c>
      <c r="I35" s="11" t="s">
        <v>49</v>
      </c>
      <c r="J35" s="12" t="s">
        <v>180</v>
      </c>
      <c r="K35" s="11" t="s">
        <v>51</v>
      </c>
      <c r="L35" s="11" t="s">
        <v>74</v>
      </c>
      <c r="M35" s="11" t="s">
        <v>42</v>
      </c>
    </row>
    <row r="36" customFormat="false" ht="15" hidden="false" customHeight="false" outlineLevel="0" collapsed="false">
      <c r="A36" s="11" t="s">
        <v>181</v>
      </c>
      <c r="B36" s="11" t="s">
        <v>150</v>
      </c>
      <c r="C36" s="11" t="s">
        <v>63</v>
      </c>
      <c r="D36" s="11" t="s">
        <v>19</v>
      </c>
      <c r="E36" s="11" t="s">
        <v>54</v>
      </c>
      <c r="F36" s="12" t="s">
        <v>182</v>
      </c>
      <c r="G36" s="11" t="s">
        <v>67</v>
      </c>
      <c r="H36" s="13" t="s">
        <v>39</v>
      </c>
      <c r="I36" s="11" t="s">
        <v>19</v>
      </c>
      <c r="J36" s="12" t="s">
        <v>183</v>
      </c>
      <c r="K36" s="11" t="s">
        <v>51</v>
      </c>
      <c r="L36" s="11" t="s">
        <v>35</v>
      </c>
      <c r="M36" s="11" t="s">
        <v>42</v>
      </c>
    </row>
    <row r="37" customFormat="false" ht="15" hidden="false" customHeight="false" outlineLevel="0" collapsed="false">
      <c r="A37" s="4" t="s">
        <v>184</v>
      </c>
      <c r="B37" s="4" t="s">
        <v>150</v>
      </c>
      <c r="C37" s="4" t="s">
        <v>17</v>
      </c>
      <c r="D37" s="4" t="s">
        <v>18</v>
      </c>
      <c r="E37" s="4" t="s">
        <v>19</v>
      </c>
      <c r="F37" s="5" t="s">
        <v>185</v>
      </c>
      <c r="G37" s="4" t="s">
        <v>133</v>
      </c>
      <c r="H37" s="7" t="s">
        <v>39</v>
      </c>
      <c r="I37" s="4" t="s">
        <v>18</v>
      </c>
      <c r="J37" s="5" t="s">
        <v>186</v>
      </c>
      <c r="K37" s="4" t="s">
        <v>24</v>
      </c>
      <c r="L37" s="4" t="s">
        <v>148</v>
      </c>
      <c r="M37" s="4" t="s">
        <v>42</v>
      </c>
    </row>
    <row r="38" customFormat="false" ht="15" hidden="false" customHeight="false" outlineLevel="0" collapsed="false">
      <c r="A38" s="4" t="s">
        <v>187</v>
      </c>
      <c r="B38" s="4" t="s">
        <v>150</v>
      </c>
      <c r="C38" s="4" t="s">
        <v>17</v>
      </c>
      <c r="D38" s="4" t="s">
        <v>162</v>
      </c>
      <c r="E38" s="4" t="s">
        <v>163</v>
      </c>
      <c r="F38" s="5" t="s">
        <v>188</v>
      </c>
      <c r="G38" s="4" t="s">
        <v>158</v>
      </c>
      <c r="H38" s="6" t="s">
        <v>22</v>
      </c>
      <c r="I38" s="4" t="s">
        <v>165</v>
      </c>
      <c r="J38" s="5" t="s">
        <v>189</v>
      </c>
      <c r="K38" s="4" t="s">
        <v>135</v>
      </c>
      <c r="L38" s="4" t="s">
        <v>31</v>
      </c>
      <c r="M38" s="4" t="s">
        <v>190</v>
      </c>
    </row>
    <row r="39" customFormat="false" ht="15" hidden="false" customHeight="false" outlineLevel="0" collapsed="false">
      <c r="A39" s="8" t="s">
        <v>191</v>
      </c>
      <c r="B39" s="8" t="s">
        <v>192</v>
      </c>
      <c r="C39" s="8" t="s">
        <v>44</v>
      </c>
      <c r="D39" s="8" t="s">
        <v>19</v>
      </c>
      <c r="E39" s="8" t="s">
        <v>193</v>
      </c>
      <c r="F39" s="9" t="s">
        <v>194</v>
      </c>
      <c r="G39" s="8" t="s">
        <v>101</v>
      </c>
      <c r="H39" s="10" t="s">
        <v>22</v>
      </c>
      <c r="I39" s="8" t="s">
        <v>49</v>
      </c>
      <c r="J39" s="9" t="s">
        <v>195</v>
      </c>
      <c r="K39" s="8" t="s">
        <v>51</v>
      </c>
      <c r="L39" s="8" t="s">
        <v>31</v>
      </c>
      <c r="M39" s="8" t="s">
        <v>77</v>
      </c>
    </row>
    <row r="40" customFormat="false" ht="22.35" hidden="false" customHeight="false" outlineLevel="0" collapsed="false">
      <c r="A40" s="21" t="s">
        <v>196</v>
      </c>
      <c r="B40" s="21" t="s">
        <v>192</v>
      </c>
      <c r="C40" s="21" t="s">
        <v>197</v>
      </c>
      <c r="D40" s="21" t="s">
        <v>198</v>
      </c>
      <c r="E40" s="21" t="s">
        <v>199</v>
      </c>
      <c r="F40" s="22" t="s">
        <v>200</v>
      </c>
      <c r="G40" s="21" t="s">
        <v>201</v>
      </c>
      <c r="H40" s="23" t="s">
        <v>22</v>
      </c>
      <c r="I40" s="21" t="s">
        <v>19</v>
      </c>
      <c r="J40" s="22" t="s">
        <v>202</v>
      </c>
      <c r="K40" s="21" t="s">
        <v>135</v>
      </c>
      <c r="L40" s="21" t="s">
        <v>203</v>
      </c>
      <c r="M40" s="21" t="s">
        <v>42</v>
      </c>
    </row>
    <row r="41" customFormat="false" ht="15" hidden="false" customHeight="false" outlineLevel="0" collapsed="false">
      <c r="A41" s="8" t="s">
        <v>204</v>
      </c>
      <c r="B41" s="8" t="s">
        <v>192</v>
      </c>
      <c r="C41" s="8" t="s">
        <v>44</v>
      </c>
      <c r="D41" s="8" t="s">
        <v>19</v>
      </c>
      <c r="E41" s="8" t="s">
        <v>205</v>
      </c>
      <c r="F41" s="9" t="s">
        <v>206</v>
      </c>
      <c r="G41" s="8" t="s">
        <v>101</v>
      </c>
      <c r="H41" s="10" t="s">
        <v>22</v>
      </c>
      <c r="I41" s="8" t="s">
        <v>19</v>
      </c>
      <c r="J41" s="9" t="s">
        <v>207</v>
      </c>
      <c r="K41" s="8" t="s">
        <v>51</v>
      </c>
      <c r="L41" s="8" t="s">
        <v>52</v>
      </c>
      <c r="M41" s="8" t="s">
        <v>77</v>
      </c>
    </row>
    <row r="42" customFormat="false" ht="15" hidden="false" customHeight="false" outlineLevel="0" collapsed="false">
      <c r="A42" s="17" t="s">
        <v>208</v>
      </c>
      <c r="B42" s="17" t="s">
        <v>192</v>
      </c>
      <c r="C42" s="17" t="s">
        <v>151</v>
      </c>
      <c r="D42" s="17" t="s">
        <v>19</v>
      </c>
      <c r="E42" s="17" t="s">
        <v>209</v>
      </c>
      <c r="F42" s="18" t="s">
        <v>210</v>
      </c>
      <c r="G42" s="17" t="s">
        <v>154</v>
      </c>
      <c r="H42" s="19" t="s">
        <v>77</v>
      </c>
      <c r="I42" s="17" t="s">
        <v>19</v>
      </c>
      <c r="J42" s="18" t="s">
        <v>211</v>
      </c>
      <c r="K42" s="17" t="s">
        <v>135</v>
      </c>
      <c r="L42" s="17" t="s">
        <v>35</v>
      </c>
      <c r="M42" s="17" t="s">
        <v>77</v>
      </c>
    </row>
    <row r="43" customFormat="false" ht="22.35" hidden="false" customHeight="false" outlineLevel="0" collapsed="false">
      <c r="A43" s="4" t="s">
        <v>212</v>
      </c>
      <c r="B43" s="4" t="s">
        <v>192</v>
      </c>
      <c r="C43" s="4" t="s">
        <v>17</v>
      </c>
      <c r="D43" s="4" t="s">
        <v>19</v>
      </c>
      <c r="E43" s="4" t="s">
        <v>175</v>
      </c>
      <c r="F43" s="5" t="s">
        <v>213</v>
      </c>
      <c r="G43" s="4" t="s">
        <v>21</v>
      </c>
      <c r="H43" s="6" t="s">
        <v>22</v>
      </c>
      <c r="I43" s="4" t="s">
        <v>214</v>
      </c>
      <c r="J43" s="5" t="s">
        <v>215</v>
      </c>
      <c r="K43" s="4" t="s">
        <v>216</v>
      </c>
      <c r="L43" s="4" t="s">
        <v>31</v>
      </c>
      <c r="M43" s="4" t="s">
        <v>42</v>
      </c>
    </row>
    <row r="44" customFormat="false" ht="15" hidden="false" customHeight="false" outlineLevel="0" collapsed="false">
      <c r="A44" s="4" t="s">
        <v>217</v>
      </c>
      <c r="B44" s="4" t="s">
        <v>192</v>
      </c>
      <c r="C44" s="4" t="s">
        <v>17</v>
      </c>
      <c r="D44" s="4" t="s">
        <v>18</v>
      </c>
      <c r="E44" s="4" t="s">
        <v>19</v>
      </c>
      <c r="F44" s="5" t="s">
        <v>218</v>
      </c>
      <c r="G44" s="4" t="s">
        <v>133</v>
      </c>
      <c r="H44" s="7" t="s">
        <v>39</v>
      </c>
      <c r="I44" s="4" t="s">
        <v>18</v>
      </c>
      <c r="J44" s="5" t="s">
        <v>219</v>
      </c>
      <c r="K44" s="4" t="s">
        <v>24</v>
      </c>
      <c r="L44" s="4" t="s">
        <v>148</v>
      </c>
      <c r="M44" s="4" t="s">
        <v>42</v>
      </c>
    </row>
    <row r="45" customFormat="false" ht="22.35" hidden="false" customHeight="false" outlineLevel="0" collapsed="false">
      <c r="A45" s="8" t="s">
        <v>220</v>
      </c>
      <c r="B45" s="8" t="s">
        <v>192</v>
      </c>
      <c r="C45" s="8" t="s">
        <v>44</v>
      </c>
      <c r="D45" s="8" t="s">
        <v>19</v>
      </c>
      <c r="E45" s="8" t="s">
        <v>199</v>
      </c>
      <c r="F45" s="9" t="s">
        <v>221</v>
      </c>
      <c r="G45" s="8" t="s">
        <v>201</v>
      </c>
      <c r="H45" s="10" t="s">
        <v>22</v>
      </c>
      <c r="I45" s="8" t="s">
        <v>19</v>
      </c>
      <c r="J45" s="9" t="s">
        <v>222</v>
      </c>
      <c r="K45" s="8" t="s">
        <v>135</v>
      </c>
      <c r="L45" s="8" t="s">
        <v>61</v>
      </c>
      <c r="M45" s="8" t="s">
        <v>42</v>
      </c>
    </row>
    <row r="46" customFormat="false" ht="15" hidden="false" customHeight="false" outlineLevel="0" collapsed="false">
      <c r="A46" s="17" t="s">
        <v>223</v>
      </c>
      <c r="B46" s="17" t="s">
        <v>192</v>
      </c>
      <c r="C46" s="17" t="s">
        <v>151</v>
      </c>
      <c r="D46" s="17" t="s">
        <v>19</v>
      </c>
      <c r="E46" s="17" t="s">
        <v>152</v>
      </c>
      <c r="F46" s="18" t="s">
        <v>224</v>
      </c>
      <c r="G46" s="17" t="s">
        <v>154</v>
      </c>
      <c r="H46" s="19" t="s">
        <v>77</v>
      </c>
      <c r="I46" s="17" t="s">
        <v>19</v>
      </c>
      <c r="J46" s="18" t="s">
        <v>225</v>
      </c>
      <c r="K46" s="17" t="s">
        <v>135</v>
      </c>
      <c r="L46" s="17" t="s">
        <v>152</v>
      </c>
      <c r="M46" s="17" t="s">
        <v>77</v>
      </c>
    </row>
    <row r="47" customFormat="false" ht="15" hidden="false" customHeight="false" outlineLevel="0" collapsed="false">
      <c r="A47" s="4" t="s">
        <v>226</v>
      </c>
      <c r="B47" s="4" t="s">
        <v>192</v>
      </c>
      <c r="C47" s="4" t="s">
        <v>17</v>
      </c>
      <c r="D47" s="4" t="s">
        <v>18</v>
      </c>
      <c r="E47" s="4" t="s">
        <v>19</v>
      </c>
      <c r="F47" s="5" t="s">
        <v>227</v>
      </c>
      <c r="G47" s="4" t="s">
        <v>133</v>
      </c>
      <c r="H47" s="6" t="s">
        <v>22</v>
      </c>
      <c r="I47" s="4" t="s">
        <v>18</v>
      </c>
      <c r="J47" s="5" t="s">
        <v>228</v>
      </c>
      <c r="K47" s="4" t="s">
        <v>24</v>
      </c>
      <c r="L47" s="4" t="s">
        <v>148</v>
      </c>
      <c r="M47" s="4" t="s">
        <v>42</v>
      </c>
    </row>
    <row r="48" customFormat="false" ht="22.35" hidden="false" customHeight="false" outlineLevel="0" collapsed="false">
      <c r="A48" s="8" t="s">
        <v>229</v>
      </c>
      <c r="B48" s="8" t="s">
        <v>230</v>
      </c>
      <c r="C48" s="8" t="s">
        <v>44</v>
      </c>
      <c r="D48" s="8" t="s">
        <v>45</v>
      </c>
      <c r="E48" s="8" t="s">
        <v>19</v>
      </c>
      <c r="F48" s="9" t="s">
        <v>231</v>
      </c>
      <c r="G48" s="8" t="s">
        <v>48</v>
      </c>
      <c r="H48" s="15" t="s">
        <v>39</v>
      </c>
      <c r="I48" s="8" t="s">
        <v>232</v>
      </c>
      <c r="J48" s="9" t="s">
        <v>233</v>
      </c>
      <c r="K48" s="8" t="s">
        <v>51</v>
      </c>
      <c r="L48" s="8" t="s">
        <v>31</v>
      </c>
      <c r="M48" s="8" t="s">
        <v>42</v>
      </c>
    </row>
    <row r="49" customFormat="false" ht="15" hidden="false" customHeight="false" outlineLevel="0" collapsed="false">
      <c r="A49" s="4" t="s">
        <v>234</v>
      </c>
      <c r="B49" s="4" t="s">
        <v>230</v>
      </c>
      <c r="C49" s="4" t="s">
        <v>17</v>
      </c>
      <c r="D49" s="4" t="s">
        <v>235</v>
      </c>
      <c r="E49" s="4" t="s">
        <v>236</v>
      </c>
      <c r="F49" s="5" t="s">
        <v>237</v>
      </c>
      <c r="G49" s="4" t="s">
        <v>158</v>
      </c>
      <c r="H49" s="6" t="s">
        <v>22</v>
      </c>
      <c r="I49" s="4" t="s">
        <v>238</v>
      </c>
      <c r="J49" s="5" t="s">
        <v>239</v>
      </c>
      <c r="K49" s="4" t="s">
        <v>51</v>
      </c>
      <c r="L49" s="4" t="s">
        <v>52</v>
      </c>
      <c r="M49" s="4" t="s">
        <v>160</v>
      </c>
    </row>
    <row r="50" customFormat="false" ht="15" hidden="false" customHeight="false" outlineLevel="0" collapsed="false">
      <c r="A50" s="17" t="s">
        <v>240</v>
      </c>
      <c r="B50" s="17" t="s">
        <v>230</v>
      </c>
      <c r="C50" s="17" t="s">
        <v>151</v>
      </c>
      <c r="D50" s="17" t="s">
        <v>19</v>
      </c>
      <c r="E50" s="17" t="s">
        <v>152</v>
      </c>
      <c r="F50" s="18" t="s">
        <v>241</v>
      </c>
      <c r="G50" s="17" t="s">
        <v>154</v>
      </c>
      <c r="H50" s="19" t="s">
        <v>77</v>
      </c>
      <c r="I50" s="17" t="s">
        <v>19</v>
      </c>
      <c r="J50" s="18" t="s">
        <v>242</v>
      </c>
      <c r="K50" s="17" t="s">
        <v>135</v>
      </c>
      <c r="L50" s="17" t="s">
        <v>152</v>
      </c>
      <c r="M50" s="17" t="s">
        <v>77</v>
      </c>
    </row>
    <row r="51" customFormat="false" ht="15" hidden="false" customHeight="false" outlineLevel="0" collapsed="false">
      <c r="A51" s="4" t="s">
        <v>243</v>
      </c>
      <c r="B51" s="4" t="s">
        <v>230</v>
      </c>
      <c r="C51" s="4" t="s">
        <v>17</v>
      </c>
      <c r="D51" s="4" t="s">
        <v>18</v>
      </c>
      <c r="E51" s="4" t="s">
        <v>19</v>
      </c>
      <c r="F51" s="5" t="s">
        <v>244</v>
      </c>
      <c r="G51" s="4" t="s">
        <v>133</v>
      </c>
      <c r="H51" s="7" t="s">
        <v>39</v>
      </c>
      <c r="I51" s="4" t="s">
        <v>18</v>
      </c>
      <c r="J51" s="5" t="s">
        <v>245</v>
      </c>
      <c r="K51" s="4" t="s">
        <v>24</v>
      </c>
      <c r="L51" s="4" t="s">
        <v>246</v>
      </c>
      <c r="M51" s="4" t="s">
        <v>42</v>
      </c>
    </row>
    <row r="52" customFormat="false" ht="15" hidden="false" customHeight="false" outlineLevel="0" collapsed="false">
      <c r="A52" s="8" t="s">
        <v>247</v>
      </c>
      <c r="B52" s="8" t="s">
        <v>230</v>
      </c>
      <c r="C52" s="8" t="s">
        <v>44</v>
      </c>
      <c r="D52" s="8" t="s">
        <v>18</v>
      </c>
      <c r="E52" s="8" t="s">
        <v>19</v>
      </c>
      <c r="F52" s="9" t="s">
        <v>248</v>
      </c>
      <c r="G52" s="8" t="s">
        <v>249</v>
      </c>
      <c r="H52" s="10" t="s">
        <v>22</v>
      </c>
      <c r="I52" s="8" t="s">
        <v>18</v>
      </c>
      <c r="J52" s="9" t="s">
        <v>250</v>
      </c>
      <c r="K52" s="8" t="s">
        <v>24</v>
      </c>
      <c r="L52" s="8" t="s">
        <v>103</v>
      </c>
      <c r="M52" s="8" t="s">
        <v>42</v>
      </c>
    </row>
    <row r="53" customFormat="false" ht="15" hidden="false" customHeight="false" outlineLevel="0" collapsed="false">
      <c r="A53" s="4" t="s">
        <v>251</v>
      </c>
      <c r="B53" s="4" t="s">
        <v>230</v>
      </c>
      <c r="C53" s="4" t="s">
        <v>17</v>
      </c>
      <c r="D53" s="4" t="s">
        <v>162</v>
      </c>
      <c r="E53" s="4" t="s">
        <v>252</v>
      </c>
      <c r="F53" s="5" t="s">
        <v>253</v>
      </c>
      <c r="G53" s="4" t="s">
        <v>158</v>
      </c>
      <c r="H53" s="6" t="s">
        <v>22</v>
      </c>
      <c r="I53" s="4" t="s">
        <v>165</v>
      </c>
      <c r="J53" s="5" t="s">
        <v>254</v>
      </c>
      <c r="K53" s="4" t="s">
        <v>24</v>
      </c>
      <c r="L53" s="4" t="s">
        <v>31</v>
      </c>
      <c r="M53" s="4" t="s">
        <v>160</v>
      </c>
    </row>
    <row r="54" customFormat="false" ht="15" hidden="false" customHeight="false" outlineLevel="0" collapsed="false">
      <c r="A54" s="8" t="s">
        <v>255</v>
      </c>
      <c r="B54" s="8" t="s">
        <v>230</v>
      </c>
      <c r="C54" s="8" t="s">
        <v>44</v>
      </c>
      <c r="D54" s="8" t="s">
        <v>256</v>
      </c>
      <c r="E54" s="8" t="s">
        <v>140</v>
      </c>
      <c r="F54" s="9" t="s">
        <v>257</v>
      </c>
      <c r="G54" s="8" t="s">
        <v>48</v>
      </c>
      <c r="H54" s="14" t="s">
        <v>77</v>
      </c>
      <c r="I54" s="8" t="s">
        <v>49</v>
      </c>
      <c r="J54" s="9" t="s">
        <v>258</v>
      </c>
      <c r="K54" s="8" t="s">
        <v>51</v>
      </c>
      <c r="L54" s="8" t="s">
        <v>61</v>
      </c>
      <c r="M54" s="8" t="s">
        <v>77</v>
      </c>
    </row>
    <row r="55" customFormat="false" ht="15" hidden="false" customHeight="false" outlineLevel="0" collapsed="false">
      <c r="A55" s="8" t="s">
        <v>259</v>
      </c>
      <c r="B55" s="8" t="s">
        <v>230</v>
      </c>
      <c r="C55" s="8" t="s">
        <v>44</v>
      </c>
      <c r="D55" s="8" t="s">
        <v>45</v>
      </c>
      <c r="E55" s="8" t="s">
        <v>260</v>
      </c>
      <c r="F55" s="9" t="s">
        <v>261</v>
      </c>
      <c r="G55" s="8" t="s">
        <v>48</v>
      </c>
      <c r="H55" s="10" t="s">
        <v>22</v>
      </c>
      <c r="I55" s="8" t="s">
        <v>49</v>
      </c>
      <c r="J55" s="9" t="s">
        <v>262</v>
      </c>
      <c r="K55" s="8" t="s">
        <v>51</v>
      </c>
      <c r="L55" s="8" t="s">
        <v>89</v>
      </c>
      <c r="M55" s="8" t="s">
        <v>77</v>
      </c>
    </row>
    <row r="56" customFormat="false" ht="15" hidden="false" customHeight="false" outlineLevel="0" collapsed="false">
      <c r="A56" s="8" t="s">
        <v>263</v>
      </c>
      <c r="B56" s="8" t="s">
        <v>230</v>
      </c>
      <c r="C56" s="8" t="s">
        <v>44</v>
      </c>
      <c r="D56" s="8" t="s">
        <v>18</v>
      </c>
      <c r="E56" s="8" t="s">
        <v>264</v>
      </c>
      <c r="F56" s="9" t="s">
        <v>265</v>
      </c>
      <c r="G56" s="8" t="s">
        <v>87</v>
      </c>
      <c r="H56" s="10" t="s">
        <v>22</v>
      </c>
      <c r="I56" s="8" t="s">
        <v>18</v>
      </c>
      <c r="J56" s="9" t="s">
        <v>266</v>
      </c>
      <c r="K56" s="8" t="s">
        <v>51</v>
      </c>
      <c r="L56" s="8" t="s">
        <v>103</v>
      </c>
      <c r="M56" s="8" t="s">
        <v>42</v>
      </c>
    </row>
    <row r="57" customFormat="false" ht="15" hidden="false" customHeight="false" outlineLevel="0" collapsed="false">
      <c r="A57" s="11" t="s">
        <v>267</v>
      </c>
      <c r="B57" s="11" t="s">
        <v>230</v>
      </c>
      <c r="C57" s="11" t="s">
        <v>63</v>
      </c>
      <c r="D57" s="11" t="s">
        <v>268</v>
      </c>
      <c r="E57" s="11" t="s">
        <v>269</v>
      </c>
      <c r="F57" s="12" t="s">
        <v>270</v>
      </c>
      <c r="G57" s="11" t="s">
        <v>67</v>
      </c>
      <c r="H57" s="20" t="s">
        <v>22</v>
      </c>
      <c r="I57" s="11" t="s">
        <v>49</v>
      </c>
      <c r="J57" s="12" t="s">
        <v>271</v>
      </c>
      <c r="K57" s="11" t="s">
        <v>51</v>
      </c>
      <c r="L57" s="11" t="s">
        <v>31</v>
      </c>
      <c r="M57" s="11" t="s">
        <v>77</v>
      </c>
    </row>
    <row r="58" customFormat="false" ht="15" hidden="false" customHeight="false" outlineLevel="0" collapsed="false">
      <c r="A58" s="8" t="s">
        <v>272</v>
      </c>
      <c r="B58" s="8" t="s">
        <v>230</v>
      </c>
      <c r="C58" s="8" t="s">
        <v>44</v>
      </c>
      <c r="D58" s="8" t="s">
        <v>45</v>
      </c>
      <c r="E58" s="8" t="s">
        <v>81</v>
      </c>
      <c r="F58" s="9" t="s">
        <v>273</v>
      </c>
      <c r="G58" s="8" t="s">
        <v>48</v>
      </c>
      <c r="H58" s="10" t="s">
        <v>22</v>
      </c>
      <c r="I58" s="8" t="s">
        <v>49</v>
      </c>
      <c r="J58" s="9" t="s">
        <v>274</v>
      </c>
      <c r="K58" s="8" t="s">
        <v>51</v>
      </c>
      <c r="L58" s="8" t="s">
        <v>52</v>
      </c>
      <c r="M58" s="8" t="s">
        <v>77</v>
      </c>
    </row>
    <row r="59" customFormat="false" ht="15" hidden="false" customHeight="false" outlineLevel="0" collapsed="false">
      <c r="A59" s="8" t="s">
        <v>275</v>
      </c>
      <c r="B59" s="8" t="s">
        <v>276</v>
      </c>
      <c r="C59" s="8" t="s">
        <v>44</v>
      </c>
      <c r="D59" s="8" t="s">
        <v>45</v>
      </c>
      <c r="E59" s="8" t="s">
        <v>277</v>
      </c>
      <c r="F59" s="9" t="s">
        <v>278</v>
      </c>
      <c r="G59" s="8" t="s">
        <v>48</v>
      </c>
      <c r="H59" s="14" t="s">
        <v>77</v>
      </c>
      <c r="I59" s="8" t="s">
        <v>49</v>
      </c>
      <c r="J59" s="9" t="s">
        <v>279</v>
      </c>
      <c r="K59" s="8" t="s">
        <v>24</v>
      </c>
      <c r="L59" s="8" t="s">
        <v>103</v>
      </c>
      <c r="M59" s="8" t="s">
        <v>77</v>
      </c>
    </row>
    <row r="60" customFormat="false" ht="15" hidden="false" customHeight="false" outlineLevel="0" collapsed="false">
      <c r="A60" s="8" t="s">
        <v>280</v>
      </c>
      <c r="B60" s="8" t="s">
        <v>276</v>
      </c>
      <c r="C60" s="8" t="s">
        <v>44</v>
      </c>
      <c r="D60" s="8" t="s">
        <v>18</v>
      </c>
      <c r="E60" s="8" t="s">
        <v>85</v>
      </c>
      <c r="F60" s="9" t="s">
        <v>281</v>
      </c>
      <c r="G60" s="8" t="s">
        <v>87</v>
      </c>
      <c r="H60" s="14" t="s">
        <v>77</v>
      </c>
      <c r="I60" s="8" t="s">
        <v>18</v>
      </c>
      <c r="J60" s="9" t="s">
        <v>282</v>
      </c>
      <c r="K60" s="8" t="s">
        <v>51</v>
      </c>
      <c r="L60" s="8" t="s">
        <v>89</v>
      </c>
      <c r="M60" s="8" t="s">
        <v>77</v>
      </c>
    </row>
    <row r="61" customFormat="false" ht="15" hidden="false" customHeight="false" outlineLevel="0" collapsed="false">
      <c r="A61" s="8" t="s">
        <v>283</v>
      </c>
      <c r="B61" s="8" t="s">
        <v>276</v>
      </c>
      <c r="C61" s="8" t="s">
        <v>44</v>
      </c>
      <c r="D61" s="8" t="s">
        <v>18</v>
      </c>
      <c r="E61" s="8" t="s">
        <v>284</v>
      </c>
      <c r="F61" s="9" t="s">
        <v>285</v>
      </c>
      <c r="G61" s="8" t="s">
        <v>87</v>
      </c>
      <c r="H61" s="10" t="s">
        <v>22</v>
      </c>
      <c r="I61" s="8" t="s">
        <v>18</v>
      </c>
      <c r="J61" s="9" t="s">
        <v>286</v>
      </c>
      <c r="K61" s="8" t="s">
        <v>51</v>
      </c>
      <c r="L61" s="8" t="s">
        <v>103</v>
      </c>
      <c r="M61" s="8" t="s">
        <v>42</v>
      </c>
    </row>
    <row r="62" customFormat="false" ht="15" hidden="false" customHeight="false" outlineLevel="0" collapsed="false">
      <c r="A62" s="8" t="s">
        <v>287</v>
      </c>
      <c r="B62" s="8" t="s">
        <v>276</v>
      </c>
      <c r="C62" s="8" t="s">
        <v>44</v>
      </c>
      <c r="D62" s="8" t="s">
        <v>18</v>
      </c>
      <c r="E62" s="8" t="s">
        <v>288</v>
      </c>
      <c r="F62" s="9" t="s">
        <v>289</v>
      </c>
      <c r="G62" s="8" t="s">
        <v>97</v>
      </c>
      <c r="H62" s="10" t="s">
        <v>22</v>
      </c>
      <c r="I62" s="8" t="s">
        <v>18</v>
      </c>
      <c r="J62" s="9" t="s">
        <v>290</v>
      </c>
      <c r="K62" s="8" t="s">
        <v>24</v>
      </c>
      <c r="L62" s="8" t="s">
        <v>31</v>
      </c>
      <c r="M62" s="8" t="s">
        <v>77</v>
      </c>
    </row>
    <row r="63" customFormat="false" ht="15" hidden="false" customHeight="false" outlineLevel="0" collapsed="false">
      <c r="A63" s="8" t="s">
        <v>291</v>
      </c>
      <c r="B63" s="8" t="s">
        <v>276</v>
      </c>
      <c r="C63" s="8" t="s">
        <v>44</v>
      </c>
      <c r="D63" s="8" t="s">
        <v>140</v>
      </c>
      <c r="E63" s="8" t="s">
        <v>292</v>
      </c>
      <c r="F63" s="9" t="s">
        <v>293</v>
      </c>
      <c r="G63" s="8" t="s">
        <v>87</v>
      </c>
      <c r="H63" s="14" t="s">
        <v>77</v>
      </c>
      <c r="I63" s="8" t="s">
        <v>140</v>
      </c>
      <c r="J63" s="9" t="s">
        <v>294</v>
      </c>
      <c r="K63" s="8" t="s">
        <v>51</v>
      </c>
      <c r="L63" s="8" t="s">
        <v>41</v>
      </c>
      <c r="M63" s="8" t="s">
        <v>77</v>
      </c>
    </row>
    <row r="64" customFormat="false" ht="22.35" hidden="false" customHeight="false" outlineLevel="0" collapsed="false">
      <c r="A64" s="8" t="s">
        <v>295</v>
      </c>
      <c r="B64" s="8" t="s">
        <v>276</v>
      </c>
      <c r="C64" s="8" t="s">
        <v>44</v>
      </c>
      <c r="D64" s="8" t="s">
        <v>19</v>
      </c>
      <c r="E64" s="8" t="s">
        <v>140</v>
      </c>
      <c r="F64" s="9" t="s">
        <v>296</v>
      </c>
      <c r="G64" s="8" t="s">
        <v>101</v>
      </c>
      <c r="H64" s="14" t="s">
        <v>77</v>
      </c>
      <c r="I64" s="8" t="s">
        <v>19</v>
      </c>
      <c r="J64" s="9" t="s">
        <v>297</v>
      </c>
      <c r="K64" s="8" t="s">
        <v>24</v>
      </c>
      <c r="L64" s="8" t="s">
        <v>298</v>
      </c>
      <c r="M64" s="8" t="s">
        <v>77</v>
      </c>
    </row>
    <row r="65" customFormat="false" ht="15" hidden="false" customHeight="false" outlineLevel="0" collapsed="false">
      <c r="A65" s="8" t="s">
        <v>299</v>
      </c>
      <c r="B65" s="8" t="s">
        <v>276</v>
      </c>
      <c r="C65" s="8" t="s">
        <v>44</v>
      </c>
      <c r="D65" s="8" t="s">
        <v>140</v>
      </c>
      <c r="E65" s="8" t="s">
        <v>19</v>
      </c>
      <c r="F65" s="9" t="s">
        <v>300</v>
      </c>
      <c r="G65" s="8" t="s">
        <v>87</v>
      </c>
      <c r="H65" s="10" t="s">
        <v>22</v>
      </c>
      <c r="I65" s="8" t="s">
        <v>140</v>
      </c>
      <c r="J65" s="9" t="s">
        <v>301</v>
      </c>
      <c r="K65" s="8" t="s">
        <v>24</v>
      </c>
      <c r="L65" s="8" t="s">
        <v>35</v>
      </c>
      <c r="M65" s="8" t="s">
        <v>77</v>
      </c>
    </row>
    <row r="66" customFormat="false" ht="22.35" hidden="false" customHeight="false" outlineLevel="0" collapsed="false">
      <c r="A66" s="24" t="s">
        <v>302</v>
      </c>
      <c r="B66" s="24" t="s">
        <v>276</v>
      </c>
      <c r="C66" s="24" t="s">
        <v>21</v>
      </c>
      <c r="D66" s="24" t="s">
        <v>19</v>
      </c>
      <c r="E66" s="24" t="s">
        <v>175</v>
      </c>
      <c r="F66" s="25" t="s">
        <v>303</v>
      </c>
      <c r="G66" s="24" t="s">
        <v>21</v>
      </c>
      <c r="H66" s="26" t="s">
        <v>22</v>
      </c>
      <c r="I66" s="24" t="s">
        <v>304</v>
      </c>
      <c r="J66" s="25" t="s">
        <v>305</v>
      </c>
      <c r="K66" s="24" t="s">
        <v>175</v>
      </c>
      <c r="L66" s="24" t="s">
        <v>31</v>
      </c>
      <c r="M66" s="24" t="s">
        <v>190</v>
      </c>
    </row>
    <row r="67" customFormat="false" ht="22.35" hidden="false" customHeight="false" outlineLevel="0" collapsed="false">
      <c r="A67" s="8" t="s">
        <v>306</v>
      </c>
      <c r="B67" s="8" t="s">
        <v>276</v>
      </c>
      <c r="C67" s="8" t="s">
        <v>44</v>
      </c>
      <c r="D67" s="8" t="s">
        <v>140</v>
      </c>
      <c r="E67" s="8" t="s">
        <v>19</v>
      </c>
      <c r="F67" s="9" t="s">
        <v>307</v>
      </c>
      <c r="G67" s="8" t="s">
        <v>97</v>
      </c>
      <c r="H67" s="14" t="s">
        <v>77</v>
      </c>
      <c r="I67" s="8" t="s">
        <v>140</v>
      </c>
      <c r="J67" s="9" t="s">
        <v>308</v>
      </c>
      <c r="K67" s="8" t="s">
        <v>51</v>
      </c>
      <c r="L67" s="8" t="s">
        <v>52</v>
      </c>
      <c r="M67" s="8" t="s">
        <v>77</v>
      </c>
    </row>
    <row r="68" customFormat="false" ht="15" hidden="false" customHeight="false" outlineLevel="0" collapsed="false">
      <c r="A68" s="8" t="s">
        <v>309</v>
      </c>
      <c r="B68" s="8" t="s">
        <v>276</v>
      </c>
      <c r="C68" s="8" t="s">
        <v>44</v>
      </c>
      <c r="D68" s="8" t="s">
        <v>140</v>
      </c>
      <c r="E68" s="8" t="s">
        <v>310</v>
      </c>
      <c r="F68" s="9" t="s">
        <v>311</v>
      </c>
      <c r="G68" s="8" t="s">
        <v>97</v>
      </c>
      <c r="H68" s="14" t="s">
        <v>77</v>
      </c>
      <c r="I68" s="8" t="s">
        <v>140</v>
      </c>
      <c r="J68" s="9" t="s">
        <v>312</v>
      </c>
      <c r="K68" s="8" t="s">
        <v>51</v>
      </c>
      <c r="L68" s="8" t="s">
        <v>31</v>
      </c>
      <c r="M68" s="8" t="s">
        <v>77</v>
      </c>
    </row>
    <row r="69" customFormat="false" ht="15" hidden="false" customHeight="false" outlineLevel="0" collapsed="false">
      <c r="A69" s="8" t="s">
        <v>313</v>
      </c>
      <c r="B69" s="8" t="s">
        <v>276</v>
      </c>
      <c r="C69" s="8" t="s">
        <v>44</v>
      </c>
      <c r="D69" s="8" t="s">
        <v>19</v>
      </c>
      <c r="E69" s="8" t="s">
        <v>140</v>
      </c>
      <c r="F69" s="9" t="s">
        <v>314</v>
      </c>
      <c r="G69" s="8" t="s">
        <v>101</v>
      </c>
      <c r="H69" s="14" t="s">
        <v>77</v>
      </c>
      <c r="I69" s="8" t="s">
        <v>19</v>
      </c>
      <c r="J69" s="9" t="s">
        <v>315</v>
      </c>
      <c r="K69" s="8" t="s">
        <v>24</v>
      </c>
      <c r="L69" s="8" t="s">
        <v>298</v>
      </c>
      <c r="M69" s="8" t="s">
        <v>77</v>
      </c>
    </row>
    <row r="70" customFormat="false" ht="15" hidden="false" customHeight="false" outlineLevel="0" collapsed="false">
      <c r="A70" s="8" t="s">
        <v>316</v>
      </c>
      <c r="B70" s="8" t="s">
        <v>276</v>
      </c>
      <c r="C70" s="8" t="s">
        <v>44</v>
      </c>
      <c r="D70" s="8" t="s">
        <v>140</v>
      </c>
      <c r="E70" s="8" t="s">
        <v>19</v>
      </c>
      <c r="F70" s="9" t="s">
        <v>317</v>
      </c>
      <c r="G70" s="8" t="s">
        <v>87</v>
      </c>
      <c r="H70" s="14" t="s">
        <v>77</v>
      </c>
      <c r="I70" s="8" t="s">
        <v>140</v>
      </c>
      <c r="J70" s="9" t="s">
        <v>318</v>
      </c>
      <c r="K70" s="8" t="s">
        <v>24</v>
      </c>
      <c r="L70" s="8" t="s">
        <v>298</v>
      </c>
      <c r="M70" s="8" t="s">
        <v>77</v>
      </c>
    </row>
    <row r="71" customFormat="false" ht="22.35" hidden="false" customHeight="false" outlineLevel="0" collapsed="false">
      <c r="A71" s="24" t="s">
        <v>319</v>
      </c>
      <c r="B71" s="24" t="s">
        <v>276</v>
      </c>
      <c r="C71" s="24" t="s">
        <v>21</v>
      </c>
      <c r="D71" s="24" t="s">
        <v>18</v>
      </c>
      <c r="E71" s="24" t="s">
        <v>175</v>
      </c>
      <c r="F71" s="25" t="s">
        <v>320</v>
      </c>
      <c r="G71" s="24" t="s">
        <v>21</v>
      </c>
      <c r="H71" s="26" t="s">
        <v>22</v>
      </c>
      <c r="I71" s="24" t="s">
        <v>18</v>
      </c>
      <c r="J71" s="25" t="s">
        <v>321</v>
      </c>
      <c r="K71" s="24" t="s">
        <v>24</v>
      </c>
      <c r="L71" s="24" t="s">
        <v>61</v>
      </c>
      <c r="M71" s="24" t="s">
        <v>42</v>
      </c>
    </row>
    <row r="72" customFormat="false" ht="15" hidden="false" customHeight="false" outlineLevel="0" collapsed="false">
      <c r="A72" s="4" t="s">
        <v>322</v>
      </c>
      <c r="B72" s="4" t="s">
        <v>323</v>
      </c>
      <c r="C72" s="4" t="s">
        <v>17</v>
      </c>
      <c r="D72" s="4" t="s">
        <v>18</v>
      </c>
      <c r="E72" s="4" t="s">
        <v>19</v>
      </c>
      <c r="F72" s="5" t="s">
        <v>324</v>
      </c>
      <c r="G72" s="4" t="s">
        <v>133</v>
      </c>
      <c r="H72" s="6" t="s">
        <v>22</v>
      </c>
      <c r="I72" s="4" t="s">
        <v>18</v>
      </c>
      <c r="J72" s="5" t="s">
        <v>325</v>
      </c>
      <c r="K72" s="4" t="s">
        <v>24</v>
      </c>
      <c r="L72" s="4" t="s">
        <v>326</v>
      </c>
      <c r="M72" s="4" t="s">
        <v>42</v>
      </c>
    </row>
    <row r="73" customFormat="false" ht="15" hidden="false" customHeight="false" outlineLevel="0" collapsed="false">
      <c r="A73" s="4" t="s">
        <v>327</v>
      </c>
      <c r="B73" s="4" t="s">
        <v>323</v>
      </c>
      <c r="C73" s="4" t="s">
        <v>17</v>
      </c>
      <c r="D73" s="4" t="s">
        <v>18</v>
      </c>
      <c r="E73" s="4" t="s">
        <v>19</v>
      </c>
      <c r="F73" s="5" t="s">
        <v>328</v>
      </c>
      <c r="G73" s="4" t="s">
        <v>133</v>
      </c>
      <c r="H73" s="6" t="s">
        <v>22</v>
      </c>
      <c r="I73" s="4" t="s">
        <v>18</v>
      </c>
      <c r="J73" s="5" t="s">
        <v>329</v>
      </c>
      <c r="K73" s="4" t="s">
        <v>24</v>
      </c>
      <c r="L73" s="4" t="s">
        <v>148</v>
      </c>
      <c r="M73" s="4" t="s">
        <v>42</v>
      </c>
    </row>
    <row r="74" customFormat="false" ht="22.35" hidden="false" customHeight="false" outlineLevel="0" collapsed="false">
      <c r="A74" s="8" t="s">
        <v>330</v>
      </c>
      <c r="B74" s="8" t="s">
        <v>323</v>
      </c>
      <c r="C74" s="8" t="s">
        <v>44</v>
      </c>
      <c r="D74" s="8" t="s">
        <v>331</v>
      </c>
      <c r="E74" s="8" t="s">
        <v>19</v>
      </c>
      <c r="F74" s="9" t="s">
        <v>332</v>
      </c>
      <c r="G74" s="8" t="s">
        <v>87</v>
      </c>
      <c r="H74" s="14" t="s">
        <v>77</v>
      </c>
      <c r="I74" s="8" t="s">
        <v>333</v>
      </c>
      <c r="J74" s="9" t="s">
        <v>334</v>
      </c>
      <c r="K74" s="8" t="s">
        <v>24</v>
      </c>
      <c r="L74" s="8" t="s">
        <v>335</v>
      </c>
      <c r="M74" s="8" t="s">
        <v>77</v>
      </c>
    </row>
    <row r="75" customFormat="false" ht="22.35" hidden="false" customHeight="false" outlineLevel="0" collapsed="false">
      <c r="A75" s="8" t="s">
        <v>336</v>
      </c>
      <c r="B75" s="8" t="s">
        <v>323</v>
      </c>
      <c r="C75" s="8" t="s">
        <v>44</v>
      </c>
      <c r="D75" s="8" t="s">
        <v>45</v>
      </c>
      <c r="E75" s="8" t="s">
        <v>81</v>
      </c>
      <c r="F75" s="9" t="s">
        <v>337</v>
      </c>
      <c r="G75" s="8" t="s">
        <v>48</v>
      </c>
      <c r="H75" s="14" t="s">
        <v>77</v>
      </c>
      <c r="I75" s="8" t="s">
        <v>49</v>
      </c>
      <c r="J75" s="9" t="s">
        <v>338</v>
      </c>
      <c r="K75" s="8" t="s">
        <v>24</v>
      </c>
      <c r="L75" s="8" t="s">
        <v>103</v>
      </c>
      <c r="M75" s="8" t="s">
        <v>77</v>
      </c>
    </row>
    <row r="76" customFormat="false" ht="15" hidden="false" customHeight="false" outlineLevel="0" collapsed="false">
      <c r="A76" s="8" t="s">
        <v>339</v>
      </c>
      <c r="B76" s="8" t="s">
        <v>323</v>
      </c>
      <c r="C76" s="8" t="s">
        <v>44</v>
      </c>
      <c r="D76" s="8" t="s">
        <v>140</v>
      </c>
      <c r="E76" s="8" t="s">
        <v>19</v>
      </c>
      <c r="F76" s="9" t="s">
        <v>340</v>
      </c>
      <c r="G76" s="8" t="s">
        <v>97</v>
      </c>
      <c r="H76" s="14" t="s">
        <v>77</v>
      </c>
      <c r="I76" s="8" t="s">
        <v>140</v>
      </c>
      <c r="J76" s="9" t="s">
        <v>341</v>
      </c>
      <c r="K76" s="8" t="s">
        <v>51</v>
      </c>
      <c r="L76" s="8" t="s">
        <v>31</v>
      </c>
      <c r="M76" s="8" t="s">
        <v>77</v>
      </c>
    </row>
    <row r="77" customFormat="false" ht="22.35" hidden="false" customHeight="false" outlineLevel="0" collapsed="false">
      <c r="A77" s="8" t="s">
        <v>342</v>
      </c>
      <c r="B77" s="8" t="s">
        <v>323</v>
      </c>
      <c r="C77" s="8" t="s">
        <v>44</v>
      </c>
      <c r="D77" s="8" t="s">
        <v>140</v>
      </c>
      <c r="E77" s="8" t="s">
        <v>19</v>
      </c>
      <c r="F77" s="9" t="s">
        <v>343</v>
      </c>
      <c r="G77" s="8" t="s">
        <v>87</v>
      </c>
      <c r="H77" s="14" t="s">
        <v>77</v>
      </c>
      <c r="I77" s="8" t="s">
        <v>140</v>
      </c>
      <c r="J77" s="9" t="s">
        <v>344</v>
      </c>
      <c r="K77" s="8" t="s">
        <v>51</v>
      </c>
      <c r="L77" s="8" t="s">
        <v>61</v>
      </c>
      <c r="M77" s="8" t="s">
        <v>77</v>
      </c>
    </row>
    <row r="78" customFormat="false" ht="15" hidden="false" customHeight="false" outlineLevel="0" collapsed="false">
      <c r="A78" s="8" t="s">
        <v>345</v>
      </c>
      <c r="B78" s="8" t="s">
        <v>323</v>
      </c>
      <c r="C78" s="8" t="s">
        <v>44</v>
      </c>
      <c r="D78" s="8" t="s">
        <v>19</v>
      </c>
      <c r="E78" s="8" t="s">
        <v>140</v>
      </c>
      <c r="F78" s="9" t="s">
        <v>346</v>
      </c>
      <c r="G78" s="8" t="s">
        <v>101</v>
      </c>
      <c r="H78" s="14" t="s">
        <v>77</v>
      </c>
      <c r="I78" s="8" t="s">
        <v>19</v>
      </c>
      <c r="J78" s="9" t="s">
        <v>347</v>
      </c>
      <c r="K78" s="8" t="s">
        <v>24</v>
      </c>
      <c r="L78" s="8" t="s">
        <v>41</v>
      </c>
      <c r="M78" s="8" t="s">
        <v>77</v>
      </c>
    </row>
    <row r="79" customFormat="false" ht="15" hidden="false" customHeight="false" outlineLevel="0" collapsed="false">
      <c r="A79" s="8" t="s">
        <v>348</v>
      </c>
      <c r="B79" s="8" t="s">
        <v>323</v>
      </c>
      <c r="C79" s="8" t="s">
        <v>44</v>
      </c>
      <c r="D79" s="8" t="s">
        <v>19</v>
      </c>
      <c r="E79" s="8" t="s">
        <v>349</v>
      </c>
      <c r="F79" s="9" t="s">
        <v>350</v>
      </c>
      <c r="G79" s="8" t="s">
        <v>101</v>
      </c>
      <c r="H79" s="14" t="s">
        <v>77</v>
      </c>
      <c r="I79" s="8" t="s">
        <v>19</v>
      </c>
      <c r="J79" s="9" t="s">
        <v>351</v>
      </c>
      <c r="K79" s="8" t="s">
        <v>24</v>
      </c>
      <c r="L79" s="8" t="s">
        <v>41</v>
      </c>
      <c r="M79" s="8" t="s">
        <v>77</v>
      </c>
    </row>
    <row r="80" customFormat="false" ht="15" hidden="false" customHeight="false" outlineLevel="0" collapsed="false">
      <c r="A80" s="8" t="s">
        <v>352</v>
      </c>
      <c r="B80" s="8" t="s">
        <v>323</v>
      </c>
      <c r="C80" s="8" t="s">
        <v>44</v>
      </c>
      <c r="D80" s="8" t="s">
        <v>140</v>
      </c>
      <c r="E80" s="8" t="s">
        <v>19</v>
      </c>
      <c r="F80" s="9" t="s">
        <v>353</v>
      </c>
      <c r="G80" s="8" t="s">
        <v>87</v>
      </c>
      <c r="H80" s="14" t="s">
        <v>77</v>
      </c>
      <c r="I80" s="8" t="s">
        <v>140</v>
      </c>
      <c r="J80" s="9" t="s">
        <v>354</v>
      </c>
      <c r="K80" s="8" t="s">
        <v>24</v>
      </c>
      <c r="L80" s="8" t="s">
        <v>41</v>
      </c>
      <c r="M80" s="8" t="s">
        <v>77</v>
      </c>
    </row>
    <row r="81" customFormat="false" ht="15" hidden="false" customHeight="false" outlineLevel="0" collapsed="false">
      <c r="A81" s="4" t="s">
        <v>355</v>
      </c>
      <c r="B81" s="4" t="s">
        <v>37</v>
      </c>
      <c r="C81" s="4" t="s">
        <v>17</v>
      </c>
      <c r="D81" s="4" t="s">
        <v>18</v>
      </c>
      <c r="E81" s="4" t="s">
        <v>19</v>
      </c>
      <c r="F81" s="5" t="s">
        <v>356</v>
      </c>
      <c r="G81" s="4" t="s">
        <v>133</v>
      </c>
      <c r="H81" s="6" t="s">
        <v>22</v>
      </c>
      <c r="I81" s="4" t="s">
        <v>18</v>
      </c>
      <c r="J81" s="5" t="s">
        <v>357</v>
      </c>
      <c r="K81" s="4" t="s">
        <v>24</v>
      </c>
      <c r="L81" s="4" t="s">
        <v>358</v>
      </c>
      <c r="M81" s="4" t="s">
        <v>42</v>
      </c>
    </row>
    <row r="82" customFormat="false" ht="15" hidden="false" customHeight="false" outlineLevel="0" collapsed="false">
      <c r="A82" s="4" t="s">
        <v>359</v>
      </c>
      <c r="B82" s="4" t="s">
        <v>37</v>
      </c>
      <c r="C82" s="4" t="s">
        <v>17</v>
      </c>
      <c r="D82" s="4" t="s">
        <v>18</v>
      </c>
      <c r="E82" s="4" t="s">
        <v>19</v>
      </c>
      <c r="F82" s="5" t="s">
        <v>360</v>
      </c>
      <c r="G82" s="4" t="s">
        <v>133</v>
      </c>
      <c r="H82" s="6" t="s">
        <v>22</v>
      </c>
      <c r="I82" s="4" t="s">
        <v>18</v>
      </c>
      <c r="J82" s="5" t="s">
        <v>361</v>
      </c>
      <c r="K82" s="4" t="s">
        <v>24</v>
      </c>
      <c r="L82" s="4" t="s">
        <v>326</v>
      </c>
      <c r="M82" s="4" t="s">
        <v>42</v>
      </c>
    </row>
    <row r="83" customFormat="false" ht="15" hidden="false" customHeight="false" outlineLevel="0" collapsed="false">
      <c r="A83" s="8" t="s">
        <v>362</v>
      </c>
      <c r="B83" s="8" t="s">
        <v>95</v>
      </c>
      <c r="C83" s="8" t="s">
        <v>44</v>
      </c>
      <c r="D83" s="8" t="s">
        <v>45</v>
      </c>
      <c r="E83" s="8" t="s">
        <v>81</v>
      </c>
      <c r="F83" s="9" t="s">
        <v>363</v>
      </c>
      <c r="G83" s="8" t="s">
        <v>48</v>
      </c>
      <c r="H83" s="14" t="s">
        <v>77</v>
      </c>
      <c r="I83" s="8" t="s">
        <v>49</v>
      </c>
      <c r="J83" s="9" t="s">
        <v>364</v>
      </c>
      <c r="K83" s="8" t="s">
        <v>51</v>
      </c>
      <c r="L83" s="8" t="s">
        <v>89</v>
      </c>
      <c r="M83" s="8" t="s">
        <v>77</v>
      </c>
    </row>
    <row r="84" customFormat="false" ht="22.35" hidden="false" customHeight="false" outlineLevel="0" collapsed="false">
      <c r="A84" s="11" t="s">
        <v>365</v>
      </c>
      <c r="B84" s="11" t="s">
        <v>95</v>
      </c>
      <c r="C84" s="11" t="s">
        <v>63</v>
      </c>
      <c r="D84" s="11" t="s">
        <v>18</v>
      </c>
      <c r="E84" s="11" t="s">
        <v>19</v>
      </c>
      <c r="F84" s="12" t="s">
        <v>366</v>
      </c>
      <c r="G84" s="11" t="s">
        <v>67</v>
      </c>
      <c r="H84" s="20" t="s">
        <v>22</v>
      </c>
      <c r="I84" s="11" t="s">
        <v>18</v>
      </c>
      <c r="J84" s="12" t="s">
        <v>367</v>
      </c>
      <c r="K84" s="11" t="s">
        <v>24</v>
      </c>
      <c r="L84" s="11" t="s">
        <v>246</v>
      </c>
      <c r="M84" s="11" t="s">
        <v>42</v>
      </c>
    </row>
    <row r="85" customFormat="false" ht="22.35" hidden="false" customHeight="false" outlineLevel="0" collapsed="false">
      <c r="A85" s="8" t="s">
        <v>368</v>
      </c>
      <c r="B85" s="8" t="s">
        <v>150</v>
      </c>
      <c r="C85" s="8" t="s">
        <v>44</v>
      </c>
      <c r="D85" s="8" t="s">
        <v>18</v>
      </c>
      <c r="E85" s="8" t="s">
        <v>264</v>
      </c>
      <c r="F85" s="9" t="s">
        <v>369</v>
      </c>
      <c r="G85" s="8" t="s">
        <v>87</v>
      </c>
      <c r="H85" s="10" t="s">
        <v>22</v>
      </c>
      <c r="I85" s="8" t="s">
        <v>18</v>
      </c>
      <c r="J85" s="9" t="s">
        <v>370</v>
      </c>
      <c r="K85" s="8" t="s">
        <v>51</v>
      </c>
      <c r="L85" s="8" t="s">
        <v>103</v>
      </c>
      <c r="M85" s="8" t="s">
        <v>42</v>
      </c>
    </row>
    <row r="86" customFormat="false" ht="15" hidden="false" customHeight="false" outlineLevel="0" collapsed="false">
      <c r="A86" s="4" t="s">
        <v>371</v>
      </c>
      <c r="B86" s="4" t="s">
        <v>192</v>
      </c>
      <c r="C86" s="4" t="s">
        <v>17</v>
      </c>
      <c r="D86" s="4" t="s">
        <v>18</v>
      </c>
      <c r="E86" s="4" t="s">
        <v>19</v>
      </c>
      <c r="F86" s="5" t="s">
        <v>372</v>
      </c>
      <c r="G86" s="4" t="s">
        <v>158</v>
      </c>
      <c r="H86" s="6" t="s">
        <v>22</v>
      </c>
      <c r="I86" s="4" t="s">
        <v>165</v>
      </c>
      <c r="J86" s="5" t="s">
        <v>373</v>
      </c>
      <c r="K86" s="4" t="s">
        <v>135</v>
      </c>
      <c r="L86" s="4" t="s">
        <v>31</v>
      </c>
      <c r="M86" s="4" t="s">
        <v>42</v>
      </c>
    </row>
    <row r="87" customFormat="false" ht="15" hidden="false" customHeight="false" outlineLevel="0" collapsed="false">
      <c r="A87" s="8" t="s">
        <v>374</v>
      </c>
      <c r="B87" s="8" t="s">
        <v>230</v>
      </c>
      <c r="C87" s="8" t="s">
        <v>44</v>
      </c>
      <c r="D87" s="8" t="s">
        <v>18</v>
      </c>
      <c r="E87" s="8" t="s">
        <v>264</v>
      </c>
      <c r="F87" s="9" t="s">
        <v>375</v>
      </c>
      <c r="G87" s="8" t="s">
        <v>87</v>
      </c>
      <c r="H87" s="15" t="s">
        <v>39</v>
      </c>
      <c r="I87" s="8" t="s">
        <v>18</v>
      </c>
      <c r="J87" s="9" t="s">
        <v>376</v>
      </c>
      <c r="K87" s="8" t="s">
        <v>51</v>
      </c>
      <c r="L87" s="8" t="s">
        <v>103</v>
      </c>
      <c r="M87" s="8" t="s">
        <v>42</v>
      </c>
    </row>
    <row r="88" customFormat="false" ht="15" hidden="false" customHeight="false" outlineLevel="0" collapsed="false">
      <c r="A88" s="4" t="s">
        <v>377</v>
      </c>
      <c r="B88" s="4" t="s">
        <v>230</v>
      </c>
      <c r="C88" s="4" t="s">
        <v>17</v>
      </c>
      <c r="D88" s="4" t="s">
        <v>18</v>
      </c>
      <c r="E88" s="4" t="s">
        <v>19</v>
      </c>
      <c r="F88" s="5" t="s">
        <v>378</v>
      </c>
      <c r="G88" s="4" t="s">
        <v>133</v>
      </c>
      <c r="H88" s="7" t="s">
        <v>39</v>
      </c>
      <c r="I88" s="4" t="s">
        <v>18</v>
      </c>
      <c r="J88" s="5" t="s">
        <v>379</v>
      </c>
      <c r="K88" s="4" t="s">
        <v>24</v>
      </c>
      <c r="L88" s="4" t="s">
        <v>148</v>
      </c>
      <c r="M88" s="4" t="s">
        <v>42</v>
      </c>
    </row>
    <row r="89" customFormat="false" ht="15" hidden="false" customHeight="false" outlineLevel="0" collapsed="false">
      <c r="A89" s="11" t="s">
        <v>380</v>
      </c>
      <c r="B89" s="11" t="s">
        <v>230</v>
      </c>
      <c r="C89" s="11" t="s">
        <v>63</v>
      </c>
      <c r="D89" s="11" t="s">
        <v>19</v>
      </c>
      <c r="E89" s="11" t="s">
        <v>123</v>
      </c>
      <c r="F89" s="12" t="s">
        <v>381</v>
      </c>
      <c r="G89" s="11" t="s">
        <v>67</v>
      </c>
      <c r="H89" s="13" t="s">
        <v>39</v>
      </c>
      <c r="I89" s="11" t="s">
        <v>19</v>
      </c>
      <c r="J89" s="12" t="s">
        <v>382</v>
      </c>
      <c r="K89" s="11" t="s">
        <v>51</v>
      </c>
      <c r="L89" s="11" t="s">
        <v>31</v>
      </c>
      <c r="M89" s="11" t="s">
        <v>42</v>
      </c>
    </row>
    <row r="90" customFormat="false" ht="15" hidden="false" customHeight="false" outlineLevel="0" collapsed="false">
      <c r="A90" s="17" t="s">
        <v>383</v>
      </c>
      <c r="B90" s="17" t="s">
        <v>230</v>
      </c>
      <c r="C90" s="17" t="s">
        <v>151</v>
      </c>
      <c r="D90" s="17" t="s">
        <v>19</v>
      </c>
      <c r="E90" s="17" t="s">
        <v>152</v>
      </c>
      <c r="F90" s="18" t="s">
        <v>384</v>
      </c>
      <c r="G90" s="17" t="s">
        <v>154</v>
      </c>
      <c r="H90" s="27" t="s">
        <v>22</v>
      </c>
      <c r="I90" s="17" t="s">
        <v>19</v>
      </c>
      <c r="J90" s="18" t="s">
        <v>385</v>
      </c>
      <c r="K90" s="17" t="s">
        <v>135</v>
      </c>
      <c r="L90" s="17" t="s">
        <v>152</v>
      </c>
      <c r="M90" s="17" t="s">
        <v>77</v>
      </c>
    </row>
    <row r="91" customFormat="false" ht="22.35" hidden="false" customHeight="false" outlineLevel="0" collapsed="false">
      <c r="A91" s="8" t="s">
        <v>386</v>
      </c>
      <c r="B91" s="8" t="s">
        <v>276</v>
      </c>
      <c r="C91" s="8" t="s">
        <v>44</v>
      </c>
      <c r="D91" s="8" t="s">
        <v>19</v>
      </c>
      <c r="E91" s="8" t="s">
        <v>19</v>
      </c>
      <c r="F91" s="9" t="s">
        <v>387</v>
      </c>
      <c r="G91" s="8" t="s">
        <v>388</v>
      </c>
      <c r="H91" s="10" t="s">
        <v>22</v>
      </c>
      <c r="I91" s="8" t="s">
        <v>389</v>
      </c>
      <c r="J91" s="9" t="s">
        <v>390</v>
      </c>
      <c r="K91" s="8" t="s">
        <v>51</v>
      </c>
      <c r="L91" s="8" t="s">
        <v>35</v>
      </c>
      <c r="M91" s="8" t="s">
        <v>42</v>
      </c>
    </row>
    <row r="92" customFormat="false" ht="15" hidden="false" customHeight="false" outlineLevel="0" collapsed="false">
      <c r="A92" s="8" t="s">
        <v>391</v>
      </c>
      <c r="B92" s="8" t="s">
        <v>276</v>
      </c>
      <c r="C92" s="8" t="s">
        <v>44</v>
      </c>
      <c r="D92" s="8" t="s">
        <v>18</v>
      </c>
      <c r="E92" s="8" t="s">
        <v>264</v>
      </c>
      <c r="F92" s="9" t="s">
        <v>392</v>
      </c>
      <c r="G92" s="8" t="s">
        <v>97</v>
      </c>
      <c r="H92" s="15" t="s">
        <v>39</v>
      </c>
      <c r="I92" s="8" t="s">
        <v>18</v>
      </c>
      <c r="J92" s="9" t="s">
        <v>393</v>
      </c>
      <c r="K92" s="8" t="s">
        <v>51</v>
      </c>
      <c r="L92" s="8" t="s">
        <v>103</v>
      </c>
      <c r="M92" s="8" t="s">
        <v>42</v>
      </c>
    </row>
    <row r="93" customFormat="false" ht="15" hidden="false" customHeight="false" outlineLevel="0" collapsed="false">
      <c r="A93" s="4" t="s">
        <v>394</v>
      </c>
      <c r="B93" s="4" t="s">
        <v>276</v>
      </c>
      <c r="C93" s="4" t="s">
        <v>17</v>
      </c>
      <c r="D93" s="4" t="s">
        <v>18</v>
      </c>
      <c r="E93" s="4" t="s">
        <v>19</v>
      </c>
      <c r="F93" s="5" t="s">
        <v>395</v>
      </c>
      <c r="G93" s="4" t="s">
        <v>133</v>
      </c>
      <c r="H93" s="6" t="s">
        <v>22</v>
      </c>
      <c r="I93" s="4" t="s">
        <v>18</v>
      </c>
      <c r="J93" s="5" t="s">
        <v>396</v>
      </c>
      <c r="K93" s="4" t="s">
        <v>24</v>
      </c>
      <c r="L93" s="4" t="s">
        <v>148</v>
      </c>
      <c r="M93" s="4" t="s">
        <v>42</v>
      </c>
    </row>
    <row r="94" customFormat="false" ht="15" hidden="false" customHeight="false" outlineLevel="0" collapsed="false">
      <c r="A94" s="4" t="s">
        <v>397</v>
      </c>
      <c r="B94" s="4" t="s">
        <v>276</v>
      </c>
      <c r="C94" s="4" t="s">
        <v>17</v>
      </c>
      <c r="D94" s="4" t="s">
        <v>18</v>
      </c>
      <c r="E94" s="4" t="s">
        <v>19</v>
      </c>
      <c r="F94" s="5" t="s">
        <v>398</v>
      </c>
      <c r="G94" s="4" t="s">
        <v>133</v>
      </c>
      <c r="H94" s="7" t="s">
        <v>39</v>
      </c>
      <c r="I94" s="4" t="s">
        <v>18</v>
      </c>
      <c r="J94" s="5" t="s">
        <v>399</v>
      </c>
      <c r="K94" s="4" t="s">
        <v>24</v>
      </c>
      <c r="L94" s="4" t="s">
        <v>148</v>
      </c>
      <c r="M94" s="4" t="s">
        <v>42</v>
      </c>
    </row>
    <row r="95" customFormat="false" ht="22.35" hidden="false" customHeight="false" outlineLevel="0" collapsed="false">
      <c r="A95" s="4" t="s">
        <v>400</v>
      </c>
      <c r="B95" s="4" t="s">
        <v>323</v>
      </c>
      <c r="C95" s="4" t="s">
        <v>17</v>
      </c>
      <c r="D95" s="4" t="s">
        <v>18</v>
      </c>
      <c r="E95" s="4" t="s">
        <v>19</v>
      </c>
      <c r="F95" s="5" t="s">
        <v>401</v>
      </c>
      <c r="G95" s="4" t="s">
        <v>21</v>
      </c>
      <c r="H95" s="6" t="s">
        <v>22</v>
      </c>
      <c r="I95" s="4" t="s">
        <v>18</v>
      </c>
      <c r="J95" s="5" t="s">
        <v>402</v>
      </c>
      <c r="K95" s="4" t="s">
        <v>24</v>
      </c>
      <c r="L95" s="4" t="s">
        <v>31</v>
      </c>
      <c r="M95" s="4" t="s">
        <v>42</v>
      </c>
    </row>
    <row r="96" customFormat="false" ht="15" hidden="false" customHeight="false" outlineLevel="0" collapsed="false">
      <c r="A96" s="8" t="s">
        <v>403</v>
      </c>
      <c r="B96" s="8" t="s">
        <v>323</v>
      </c>
      <c r="C96" s="8" t="s">
        <v>44</v>
      </c>
      <c r="D96" s="8" t="s">
        <v>18</v>
      </c>
      <c r="E96" s="8" t="s">
        <v>284</v>
      </c>
      <c r="F96" s="9" t="s">
        <v>404</v>
      </c>
      <c r="G96" s="8" t="s">
        <v>87</v>
      </c>
      <c r="H96" s="10" t="s">
        <v>22</v>
      </c>
      <c r="I96" s="8" t="s">
        <v>18</v>
      </c>
      <c r="J96" s="9" t="s">
        <v>405</v>
      </c>
      <c r="K96" s="8" t="s">
        <v>51</v>
      </c>
      <c r="L96" s="8" t="s">
        <v>103</v>
      </c>
      <c r="M96" s="8" t="s">
        <v>77</v>
      </c>
    </row>
    <row r="97" customFormat="false" ht="22.35" hidden="false" customHeight="false" outlineLevel="0" collapsed="false">
      <c r="A97" s="8" t="s">
        <v>406</v>
      </c>
      <c r="B97" s="8" t="s">
        <v>323</v>
      </c>
      <c r="C97" s="8" t="s">
        <v>44</v>
      </c>
      <c r="D97" s="8" t="s">
        <v>19</v>
      </c>
      <c r="E97" s="8" t="s">
        <v>140</v>
      </c>
      <c r="F97" s="9" t="s">
        <v>407</v>
      </c>
      <c r="G97" s="8" t="s">
        <v>101</v>
      </c>
      <c r="H97" s="14" t="s">
        <v>77</v>
      </c>
      <c r="I97" s="8" t="s">
        <v>49</v>
      </c>
      <c r="J97" s="9" t="s">
        <v>408</v>
      </c>
      <c r="K97" s="8" t="s">
        <v>51</v>
      </c>
      <c r="L97" s="8" t="s">
        <v>298</v>
      </c>
      <c r="M97" s="8" t="s">
        <v>77</v>
      </c>
    </row>
    <row r="98" customFormat="false" ht="15" hidden="false" customHeight="false" outlineLevel="0" collapsed="false">
      <c r="A98" s="4" t="s">
        <v>409</v>
      </c>
      <c r="B98" s="4" t="s">
        <v>323</v>
      </c>
      <c r="C98" s="4" t="s">
        <v>17</v>
      </c>
      <c r="D98" s="4" t="s">
        <v>18</v>
      </c>
      <c r="E98" s="4" t="s">
        <v>19</v>
      </c>
      <c r="F98" s="5" t="s">
        <v>410</v>
      </c>
      <c r="G98" s="4" t="s">
        <v>133</v>
      </c>
      <c r="H98" s="28" t="s">
        <v>77</v>
      </c>
      <c r="I98" s="4" t="s">
        <v>18</v>
      </c>
      <c r="J98" s="5" t="s">
        <v>411</v>
      </c>
      <c r="K98" s="4" t="s">
        <v>24</v>
      </c>
      <c r="L98" s="4" t="s">
        <v>148</v>
      </c>
      <c r="M98" s="4" t="s">
        <v>77</v>
      </c>
    </row>
    <row r="99" customFormat="false" ht="15" hidden="false" customHeight="false" outlineLevel="0" collapsed="false">
      <c r="A99" s="8" t="s">
        <v>412</v>
      </c>
      <c r="B99" s="8" t="s">
        <v>323</v>
      </c>
      <c r="C99" s="8" t="s">
        <v>44</v>
      </c>
      <c r="D99" s="8" t="s">
        <v>18</v>
      </c>
      <c r="E99" s="8" t="s">
        <v>19</v>
      </c>
      <c r="F99" s="9" t="s">
        <v>413</v>
      </c>
      <c r="G99" s="8" t="s">
        <v>87</v>
      </c>
      <c r="H99" s="14" t="s">
        <v>77</v>
      </c>
      <c r="I99" s="8" t="s">
        <v>18</v>
      </c>
      <c r="J99" s="9" t="s">
        <v>414</v>
      </c>
      <c r="K99" s="8" t="s">
        <v>24</v>
      </c>
      <c r="L99" s="8" t="s">
        <v>89</v>
      </c>
      <c r="M99" s="8" t="s">
        <v>77</v>
      </c>
    </row>
  </sheetData>
  <autoFilter ref="A3:M3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5"/>
    <col collapsed="false" customWidth="true" hidden="false" outlineLevel="0" max="4" min="4" style="0" width="28"/>
    <col collapsed="false" customWidth="true" hidden="false" outlineLevel="0" max="6" min="5" style="0" width="12"/>
  </cols>
  <sheetData>
    <row r="1" customFormat="false" ht="27.75" hidden="false" customHeight="true" outlineLevel="0" collapsed="false">
      <c r="A1" s="1" t="s">
        <v>415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9" t="s">
        <v>416</v>
      </c>
      <c r="D3" s="29" t="s">
        <v>417</v>
      </c>
    </row>
    <row r="4" customFormat="false" ht="15" hidden="false" customHeight="false" outlineLevel="0" collapsed="false">
      <c r="A4" s="3" t="s">
        <v>3</v>
      </c>
      <c r="B4" s="3" t="s">
        <v>418</v>
      </c>
      <c r="D4" s="3" t="s">
        <v>9</v>
      </c>
      <c r="E4" s="3" t="s">
        <v>419</v>
      </c>
      <c r="F4" s="3" t="s">
        <v>420</v>
      </c>
    </row>
    <row r="5" customFormat="false" ht="15" hidden="false" customHeight="false" outlineLevel="0" collapsed="false">
      <c r="A5" s="30" t="s">
        <v>16</v>
      </c>
      <c r="B5" s="30" t="n">
        <f aca="false">COUNTIF('Event Database'!B:B,A5)</f>
        <v>3</v>
      </c>
      <c r="D5" s="31" t="s">
        <v>77</v>
      </c>
      <c r="E5" s="30" t="n">
        <f aca="false">COUNTIF('Event Database'!H:H,D5)</f>
        <v>31</v>
      </c>
      <c r="F5" s="32" t="n">
        <f aca="false">E5/COUNTA('Event Database'!H4:H1000)</f>
        <v>0.322916666666667</v>
      </c>
    </row>
    <row r="6" customFormat="false" ht="15" hidden="false" customHeight="false" outlineLevel="0" collapsed="false">
      <c r="A6" s="30" t="s">
        <v>37</v>
      </c>
      <c r="B6" s="30" t="n">
        <f aca="false">COUNTIF('Event Database'!B:B,A6)</f>
        <v>12</v>
      </c>
      <c r="D6" s="33" t="s">
        <v>22</v>
      </c>
      <c r="E6" s="30" t="n">
        <f aca="false">COUNTIF('Event Database'!H:H,D6)</f>
        <v>46</v>
      </c>
      <c r="F6" s="32" t="n">
        <f aca="false">E6/COUNTA('Event Database'!H4:H1000)</f>
        <v>0.479166666666667</v>
      </c>
    </row>
    <row r="7" customFormat="false" ht="15" hidden="false" customHeight="false" outlineLevel="0" collapsed="false">
      <c r="A7" s="30" t="s">
        <v>95</v>
      </c>
      <c r="B7" s="30" t="n">
        <f aca="false">COUNTIF('Event Database'!B:B,A7)</f>
        <v>14</v>
      </c>
      <c r="D7" s="34" t="s">
        <v>39</v>
      </c>
      <c r="E7" s="30" t="n">
        <f aca="false">COUNTIF('Event Database'!H:H,D7)</f>
        <v>18</v>
      </c>
      <c r="F7" s="32" t="n">
        <f aca="false">E7/COUNTA('Event Database'!H4:H1000)</f>
        <v>0.1875</v>
      </c>
    </row>
    <row r="8" customFormat="false" ht="15" hidden="false" customHeight="false" outlineLevel="0" collapsed="false">
      <c r="A8" s="30" t="s">
        <v>150</v>
      </c>
      <c r="B8" s="30" t="n">
        <f aca="false">COUNTIF('Event Database'!B:B,A8)</f>
        <v>11</v>
      </c>
      <c r="D8" s="35" t="s">
        <v>129</v>
      </c>
      <c r="E8" s="30" t="n">
        <f aca="false">COUNTIF('Event Database'!H:H,D8)</f>
        <v>1</v>
      </c>
      <c r="F8" s="32" t="n">
        <f aca="false">E8/COUNTA('Event Database'!H4:H1000)</f>
        <v>0.0104166666666667</v>
      </c>
    </row>
    <row r="9" customFormat="false" ht="15" hidden="false" customHeight="false" outlineLevel="0" collapsed="false">
      <c r="A9" s="30" t="s">
        <v>192</v>
      </c>
      <c r="B9" s="30" t="n">
        <f aca="false">COUNTIF('Event Database'!B:B,A9)</f>
        <v>10</v>
      </c>
    </row>
    <row r="10" customFormat="false" ht="15" hidden="false" customHeight="false" outlineLevel="0" collapsed="false">
      <c r="A10" s="30" t="s">
        <v>230</v>
      </c>
      <c r="B10" s="30" t="n">
        <f aca="false">COUNTIF('Event Database'!B:B,A10)</f>
        <v>15</v>
      </c>
    </row>
    <row r="11" customFormat="false" ht="15" hidden="false" customHeight="false" outlineLevel="0" collapsed="false">
      <c r="A11" s="30" t="s">
        <v>276</v>
      </c>
      <c r="B11" s="30" t="n">
        <f aca="false">COUNTIF('Event Database'!B:B,A11)</f>
        <v>17</v>
      </c>
    </row>
    <row r="12" customFormat="false" ht="15" hidden="false" customHeight="false" outlineLevel="0" collapsed="false">
      <c r="A12" s="30" t="s">
        <v>323</v>
      </c>
      <c r="B12" s="30" t="n">
        <f aca="false">COUNTIF('Event Database'!B:B,A12)</f>
        <v>14</v>
      </c>
    </row>
    <row r="14" customFormat="false" ht="15" hidden="false" customHeight="false" outlineLevel="0" collapsed="false">
      <c r="A14" s="29" t="s">
        <v>421</v>
      </c>
      <c r="D14" s="29" t="s">
        <v>422</v>
      </c>
    </row>
    <row r="15" customFormat="false" ht="15" hidden="false" customHeight="false" outlineLevel="0" collapsed="false">
      <c r="A15" s="3" t="s">
        <v>4</v>
      </c>
      <c r="B15" s="3" t="s">
        <v>419</v>
      </c>
      <c r="D15" s="3" t="s">
        <v>423</v>
      </c>
      <c r="E15" s="3" t="s">
        <v>419</v>
      </c>
    </row>
    <row r="16" customFormat="false" ht="15" hidden="false" customHeight="false" outlineLevel="0" collapsed="false">
      <c r="A16" s="36" t="s">
        <v>44</v>
      </c>
      <c r="B16" s="30" t="n">
        <f aca="false">COUNTIF('Event Database'!C:C,A16)</f>
        <v>50</v>
      </c>
      <c r="D16" s="36" t="s">
        <v>18</v>
      </c>
      <c r="E16" s="30" t="n">
        <f aca="false">COUNTIF('Event Database'!I:I,D16)</f>
        <v>34</v>
      </c>
    </row>
    <row r="17" customFormat="false" ht="15" hidden="false" customHeight="false" outlineLevel="0" collapsed="false">
      <c r="A17" s="36" t="s">
        <v>17</v>
      </c>
      <c r="B17" s="30" t="n">
        <f aca="false">COUNTIF('Event Database'!C:C,A17)</f>
        <v>28</v>
      </c>
      <c r="D17" s="36" t="s">
        <v>19</v>
      </c>
      <c r="E17" s="30" t="n">
        <f aca="false">COUNTIF('Event Database'!I:I,D17)</f>
        <v>23</v>
      </c>
    </row>
    <row r="18" customFormat="false" ht="15" hidden="false" customHeight="false" outlineLevel="0" collapsed="false">
      <c r="A18" s="36" t="s">
        <v>151</v>
      </c>
      <c r="B18" s="30" t="n">
        <f aca="false">COUNTIF('Event Database'!C:C,A18)</f>
        <v>6</v>
      </c>
      <c r="D18" s="36" t="s">
        <v>49</v>
      </c>
      <c r="E18" s="30" t="n">
        <f aca="false">COUNTIF('Event Database'!I:I,D18)</f>
        <v>17</v>
      </c>
    </row>
    <row r="19" customFormat="false" ht="15" hidden="false" customHeight="false" outlineLevel="0" collapsed="false">
      <c r="A19" s="36" t="s">
        <v>63</v>
      </c>
      <c r="B19" s="30" t="n">
        <f aca="false">COUNTIF('Event Database'!C:C,A19)</f>
        <v>9</v>
      </c>
      <c r="D19" s="36" t="s">
        <v>140</v>
      </c>
      <c r="E19" s="30" t="n">
        <f aca="false">COUNTIF('Event Database'!I:I,D19)</f>
        <v>10</v>
      </c>
    </row>
    <row r="20" customFormat="false" ht="15" hidden="false" customHeight="false" outlineLevel="0" collapsed="false">
      <c r="A20" s="36" t="s">
        <v>21</v>
      </c>
      <c r="B20" s="30" t="n">
        <f aca="false">COUNTIF('Event Database'!C:C,A20)</f>
        <v>2</v>
      </c>
      <c r="D20" s="36" t="s">
        <v>165</v>
      </c>
      <c r="E20" s="30" t="n">
        <f aca="false">COUNTIF('Event Database'!I:I,D20)</f>
        <v>4</v>
      </c>
    </row>
    <row r="21" customFormat="false" ht="15" hidden="false" customHeight="false" outlineLevel="0" collapsed="false">
      <c r="A21" s="36" t="s">
        <v>197</v>
      </c>
      <c r="B21" s="30" t="n">
        <f aca="false">COUNTIF('Event Database'!C:C,A21)</f>
        <v>1</v>
      </c>
      <c r="D21" s="36" t="s">
        <v>304</v>
      </c>
      <c r="E21" s="30" t="n">
        <f aca="false">COUNTIF('Event Database'!I:I,D21)</f>
        <v>1</v>
      </c>
    </row>
    <row r="23" customFormat="false" ht="15" hidden="false" customHeight="false" outlineLevel="0" collapsed="false">
      <c r="A23" s="37" t="s">
        <v>424</v>
      </c>
      <c r="B23" s="38" t="n">
        <f aca="false">COUNTA('Event Database'!A4:A1000)</f>
        <v>96</v>
      </c>
    </row>
    <row r="24" customFormat="false" ht="15" hidden="false" customHeight="false" outlineLevel="0" collapsed="false">
      <c r="A24" s="39" t="s">
        <v>425</v>
      </c>
      <c r="B24" s="40" t="n">
        <f aca="false">COUNTIF('Event Database'!H:H,"Critical")</f>
        <v>31</v>
      </c>
    </row>
    <row r="25" customFormat="false" ht="15" hidden="false" customHeight="false" outlineLevel="0" collapsed="false">
      <c r="A25" s="39" t="s">
        <v>426</v>
      </c>
      <c r="B25" s="39" t="s">
        <v>427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5"/>
  </cols>
  <sheetData>
    <row r="1" customFormat="false" ht="27.75" hidden="false" customHeight="true" outlineLevel="0" collapsed="false">
      <c r="A1" s="1" t="s">
        <v>428</v>
      </c>
      <c r="B1" s="1"/>
      <c r="C1" s="1"/>
      <c r="D1" s="1"/>
      <c r="E1" s="1"/>
    </row>
    <row r="3" customFormat="false" ht="15" hidden="false" customHeight="false" outlineLevel="0" collapsed="false">
      <c r="A3" s="3" t="s">
        <v>429</v>
      </c>
      <c r="B3" s="3" t="s">
        <v>430</v>
      </c>
      <c r="C3" s="3" t="s">
        <v>431</v>
      </c>
      <c r="D3" s="3" t="s">
        <v>432</v>
      </c>
      <c r="E3" s="3" t="s">
        <v>433</v>
      </c>
    </row>
    <row r="4" customFormat="false" ht="22.35" hidden="false" customHeight="false" outlineLevel="0" collapsed="false">
      <c r="A4" s="41" t="s">
        <v>434</v>
      </c>
      <c r="B4" s="41" t="s">
        <v>435</v>
      </c>
      <c r="C4" s="41" t="s">
        <v>436</v>
      </c>
      <c r="D4" s="41" t="s">
        <v>437</v>
      </c>
      <c r="E4" s="41" t="s">
        <v>438</v>
      </c>
    </row>
    <row r="5" customFormat="false" ht="22.35" hidden="false" customHeight="false" outlineLevel="0" collapsed="false">
      <c r="A5" s="42" t="s">
        <v>439</v>
      </c>
      <c r="B5" s="42" t="s">
        <v>440</v>
      </c>
      <c r="C5" s="42" t="s">
        <v>441</v>
      </c>
      <c r="D5" s="42" t="s">
        <v>442</v>
      </c>
      <c r="E5" s="42" t="s">
        <v>443</v>
      </c>
    </row>
    <row r="6" customFormat="false" ht="22.35" hidden="false" customHeight="false" outlineLevel="0" collapsed="false">
      <c r="A6" s="41" t="s">
        <v>444</v>
      </c>
      <c r="B6" s="41" t="s">
        <v>445</v>
      </c>
      <c r="C6" s="41" t="s">
        <v>446</v>
      </c>
      <c r="D6" s="41" t="s">
        <v>447</v>
      </c>
      <c r="E6" s="41" t="s">
        <v>448</v>
      </c>
    </row>
    <row r="7" customFormat="false" ht="22.35" hidden="false" customHeight="false" outlineLevel="0" collapsed="false">
      <c r="A7" s="42" t="s">
        <v>449</v>
      </c>
      <c r="B7" s="42" t="s">
        <v>450</v>
      </c>
      <c r="C7" s="42" t="s">
        <v>451</v>
      </c>
      <c r="D7" s="42" t="s">
        <v>452</v>
      </c>
      <c r="E7" s="42" t="s">
        <v>453</v>
      </c>
    </row>
    <row r="8" customFormat="false" ht="22.35" hidden="false" customHeight="false" outlineLevel="0" collapsed="false">
      <c r="A8" s="41" t="s">
        <v>454</v>
      </c>
      <c r="B8" s="41" t="s">
        <v>455</v>
      </c>
      <c r="C8" s="41" t="s">
        <v>456</v>
      </c>
      <c r="D8" s="41" t="s">
        <v>457</v>
      </c>
      <c r="E8" s="41" t="s">
        <v>458</v>
      </c>
    </row>
    <row r="9" customFormat="false" ht="22.35" hidden="false" customHeight="false" outlineLevel="0" collapsed="false">
      <c r="A9" s="42" t="s">
        <v>459</v>
      </c>
      <c r="B9" s="42" t="s">
        <v>460</v>
      </c>
      <c r="C9" s="42" t="s">
        <v>461</v>
      </c>
      <c r="D9" s="42" t="s">
        <v>462</v>
      </c>
      <c r="E9" s="42" t="s">
        <v>463</v>
      </c>
    </row>
    <row r="10" customFormat="false" ht="22.35" hidden="false" customHeight="false" outlineLevel="0" collapsed="false">
      <c r="A10" s="41" t="s">
        <v>464</v>
      </c>
      <c r="B10" s="41" t="s">
        <v>465</v>
      </c>
      <c r="C10" s="41" t="s">
        <v>466</v>
      </c>
      <c r="D10" s="41" t="s">
        <v>467</v>
      </c>
      <c r="E10" s="41" t="s">
        <v>468</v>
      </c>
    </row>
    <row r="11" customFormat="false" ht="22.35" hidden="false" customHeight="false" outlineLevel="0" collapsed="false">
      <c r="A11" s="42" t="s">
        <v>469</v>
      </c>
      <c r="B11" s="42" t="s">
        <v>470</v>
      </c>
      <c r="C11" s="42" t="s">
        <v>471</v>
      </c>
      <c r="D11" s="42" t="s">
        <v>472</v>
      </c>
      <c r="E11" s="42" t="s">
        <v>473</v>
      </c>
    </row>
    <row r="12" customFormat="false" ht="15" hidden="false" customHeight="false" outlineLevel="0" collapsed="false">
      <c r="A12" s="41" t="s">
        <v>474</v>
      </c>
      <c r="B12" s="41" t="s">
        <v>475</v>
      </c>
      <c r="C12" s="41" t="s">
        <v>476</v>
      </c>
      <c r="D12" s="41" t="s">
        <v>477</v>
      </c>
      <c r="E12" s="41" t="s">
        <v>478</v>
      </c>
    </row>
    <row r="13" customFormat="false" ht="15" hidden="false" customHeight="false" outlineLevel="0" collapsed="false">
      <c r="A13" s="42" t="s">
        <v>479</v>
      </c>
      <c r="B13" s="42" t="s">
        <v>480</v>
      </c>
      <c r="C13" s="42" t="s">
        <v>481</v>
      </c>
      <c r="D13" s="42" t="s">
        <v>482</v>
      </c>
      <c r="E13" s="42" t="s">
        <v>483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2026-06-04T08:43:54Z</dcterms:created>
  <dc:creator>openpyxl</dc:creator>
  <dc:description/>
  <dc:language>en-US</dc:language>
  <cp:lastModifiedBy/>
  <dcterms:modified xsi:type="dcterms:W3CDTF">2026-06-04T08:43:55Z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